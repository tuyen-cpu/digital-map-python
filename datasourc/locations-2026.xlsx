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01897F00-11E5-427E-9DD9-65D8F3EAC3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ng_hop" sheetId="1" r:id="rId1"/>
    <sheet name="Danh_sach_chi_tiet" sheetId="2" r:id="rId2"/>
    <sheet name="Di_tich_lich_su" sheetId="3" state="hidden" r:id="rId3"/>
    <sheet name="Ranh_gioi" sheetId="4" r:id="rId4"/>
    <sheet name="Nguon_du_lieu" sheetId="5" r:id="rId5"/>
    <sheet name="Kiem_tra_bo_sung" sheetId="6" state="hidden" r:id="rId6"/>
  </sheets>
  <definedNames>
    <definedName name="_xlnm._FilterDatabase" localSheetId="1" hidden="1">Danh_sach_chi_tiet!$A$1:$W$166</definedName>
    <definedName name="_xlnm._FilterDatabase" localSheetId="2" hidden="1">Di_tich_lich_su!$A$1:$L$9</definedName>
    <definedName name="_xlnm._FilterDatabase" localSheetId="5" hidden="1">Kiem_tra_bo_sung!$A$1:$H$141</definedName>
  </definedNames>
  <calcPr calcId="191029" forceFullCalc="1"/>
</workbook>
</file>

<file path=xl/calcChain.xml><?xml version="1.0" encoding="utf-8"?>
<calcChain xmlns="http://schemas.openxmlformats.org/spreadsheetml/2006/main">
  <c r="H19" i="1" l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E5" i="1"/>
  <c r="C5" i="1"/>
  <c r="A5" i="1"/>
  <c r="D20" i="1" l="1"/>
  <c r="E20" i="1"/>
  <c r="F20" i="1"/>
  <c r="G20" i="1"/>
  <c r="H20" i="1"/>
  <c r="B20" i="1"/>
  <c r="C20" i="1"/>
</calcChain>
</file>

<file path=xl/sharedStrings.xml><?xml version="1.0" encoding="utf-8"?>
<sst xmlns="http://schemas.openxmlformats.org/spreadsheetml/2006/main" count="3667" uniqueCount="1028">
  <si>
    <t>Phạm vi: toàn bộ phường Bình Định mới = phường Bình Định cũ + xã Nhơn Khánh cũ + xã Nhơn Phúc cũ. Rà soát đến 27/08/2026. Dữ liệu gồm điểm công khai có thể nhận diện/xác minh; cơ sở nhỏ chưa có dấu vết số vẫn có thể chưa xuất hiện.</t>
  </si>
  <si>
    <t>Tổng điểm công khai đã lập danh mục</t>
  </si>
  <si>
    <t>Di tích lịch sử cấp tỉnh đã xếp hạng</t>
  </si>
  <si>
    <t>Điểm kiểm kê di tích 2026</t>
  </si>
  <si>
    <t>Trường công lập trên địa bàn</t>
  </si>
  <si>
    <t>Nhóm</t>
  </si>
  <si>
    <t>Số điểm</t>
  </si>
  <si>
    <t>Có GPS số</t>
  </si>
  <si>
    <t>Có điện thoại</t>
  </si>
  <si>
    <t>Mức A</t>
  </si>
  <si>
    <t>Mức B</t>
  </si>
  <si>
    <t>Mức C</t>
  </si>
  <si>
    <t>Có hồ sơ di tích</t>
  </si>
  <si>
    <t>Di tích lịch sử / khảo cổ</t>
  </si>
  <si>
    <t>Văn hóa / du lịch / tâm linh</t>
  </si>
  <si>
    <t>Lưu trú du lịch</t>
  </si>
  <si>
    <t>Ẩm thực / nhà hàng / cafe</t>
  </si>
  <si>
    <t>Vui chơi / thể thao</t>
  </si>
  <si>
    <t>Y tế / chăm sóc sức khỏe</t>
  </si>
  <si>
    <t>Ngân hàng / ATM</t>
  </si>
  <si>
    <t>Mua sắm / chợ / siêu thị</t>
  </si>
  <si>
    <t>Bưu chính / viễn thông / điện / nhiên liệu</t>
  </si>
  <si>
    <t>Hành chính / công an / PCCC</t>
  </si>
  <si>
    <t>Giáo dục</t>
  </si>
  <si>
    <t>TỔNG CỘNG</t>
  </si>
  <si>
    <t>STT</t>
  </si>
  <si>
    <t>Phân nhóm</t>
  </si>
  <si>
    <t>Tên địa điểm</t>
  </si>
  <si>
    <t>Địa chỉ</t>
  </si>
  <si>
    <t>Khu vực cũ</t>
  </si>
  <si>
    <t>Plus Code</t>
  </si>
  <si>
    <t>Latitude</t>
  </si>
  <si>
    <t>Longitude</t>
  </si>
  <si>
    <t>Phương pháp tọa độ</t>
  </si>
  <si>
    <t>Điện thoại</t>
  </si>
  <si>
    <t>Website/Email</t>
  </si>
  <si>
    <t>Giờ hoạt động</t>
  </si>
  <si>
    <t>Từ khóa / giá trị</t>
  </si>
  <si>
    <t>Tình trạng pháp lý di tích</t>
  </si>
  <si>
    <t>Ghi chú</t>
  </si>
  <si>
    <t>Căn cứ thuộc ranh giới</t>
  </si>
  <si>
    <t>Mức xác minh</t>
  </si>
  <si>
    <t>Nguồn chính</t>
  </si>
  <si>
    <t>Nguồn đối chiếu</t>
  </si>
  <si>
    <t>Google Maps</t>
  </si>
  <si>
    <t>Ngày rà soát</t>
  </si>
  <si>
    <t>Cần kiểm tra bổ sung</t>
  </si>
  <si>
    <t>Địa điểm kiểm kê lịch sử</t>
  </si>
  <si>
    <t>Cầu Phụ Ngọc</t>
  </si>
  <si>
    <t>Cầu Phụ Ngọc, phường Bình Định, tỉnh Gia Lai</t>
  </si>
  <si>
    <t>Nhơn Khánh / Nhơn Phúc</t>
  </si>
  <si>
    <t>Chưa có tọa độ số công khai - để link bản đồ để xác minh</t>
  </si>
  <si>
    <t>lịch sử cách mạng; giao thông</t>
  </si>
  <si>
    <t>Kiểm kê 2026 theo QĐ 529/QĐ-UBND; đề xuất xếp hạng cấp tỉnh giai đoạn 2030-2035</t>
  </si>
  <si>
    <t>Địa điểm gắn với hoạt động đấu tranh chính trị, quân sự; được đưa vào danh mục kiểm kê di tích năm 2026.</t>
  </si>
  <si>
    <t>Địa chỉ/điểm bản đồ thuộc phường Bình Định cũ, Nhơn Khánh cũ hoặc Nhơn Phúc cũ - ba đơn vị hợp nhất thành phường Bình Định mới.</t>
  </si>
  <si>
    <t>A</t>
  </si>
  <si>
    <t>https://congbao.gialai.gov.vn/congbao/congbao.nsf/70E7DA9FCA87F07B88258D96001301F5/$file/529_signed.pdf</t>
  </si>
  <si>
    <t>https://tinhthanhvn.com/bando/gia-lai/phuong-binh-dinh</t>
  </si>
  <si>
    <t>https://www.google.com/maps/search/?api=1&amp;query_place_id=ChIJM0suonk9bzERg6qhlqobluY</t>
  </si>
  <si>
    <t>27/08/2026</t>
  </si>
  <si>
    <t>Lịch sử - kiến trúc</t>
  </si>
  <si>
    <t>Chùa Ngũ bang Hội quán (An Thái)</t>
  </si>
  <si>
    <t>Thôn An Thái, phường Bình Định, tỉnh Gia Lai</t>
  </si>
  <si>
    <t>Nhơn Phúc</t>
  </si>
  <si>
    <t>lịch sử; kiến trúc; hội quán; Lễ hội Đổ Giàn; du lịch văn hóa</t>
  </si>
  <si>
    <t>Công trình hội quán/chùa của cộng đồng người Hoa - Việt tại An Thái, phản ánh giao lưu văn hóa thế kỷ XIX và gắn với không gian Lễ hội Đổ Giàn.</t>
  </si>
  <si>
    <t>https://baovanhoa.vn/van-hoa/toa-dam-khoi-phuc-le-hoi-do-gian-an-thai-101273.html</t>
  </si>
  <si>
    <t>https://www.google.com/maps/search/?api=1&amp;query=Ch%C3%B9a%20Ng%C5%A9%20bang%20H%E1%BB%99i%20qu%C3%A1n%20%28An%20Th%C3%A1i%29%2C%20Th%C3%B4n%20An%20Th%C3%A1i%2C%20ph%C6%B0%E1%BB%9Dng%20B%C3%ACnh%20%C4%90%E1%BB%8Bnh%2C%20t%E1%BB%89nh%20Gia%20Lai</t>
  </si>
  <si>
    <t>Di tích lịch sử</t>
  </si>
  <si>
    <t>Cột cờ thành Bình Định xưa</t>
  </si>
  <si>
    <t>V4M5+6CR, phường Bình Định, tỉnh Gia Lai</t>
  </si>
  <si>
    <t>Phường Bình Định cũ</t>
  </si>
  <si>
    <t>V4M5+6CR</t>
  </si>
  <si>
    <t>Giải mã Plus Code công khai V4M5+6CR</t>
  </si>
  <si>
    <t>di tích lịch sử; điểm tham quan; Cột cờ thành Bình Định</t>
  </si>
  <si>
    <t>Đã xếp hạng di tích lịch sử cấp tỉnh — QĐ 336/QĐ-UB ngày 20/05/2005</t>
  </si>
  <si>
    <t>Di tích lịch sử Cột cờ thành Bình Định; được xếp hạng cấp tỉnh năm 2005 và là một điểm văn hóa - tham quan của khu vực An Nhơn cũ.</t>
  </si>
  <si>
    <t>https://binhdinh.gov.vn/upload/2005340/20231212/4420_qd_2023_72af7.pdf</t>
  </si>
  <si>
    <t>https://baogialai.com.vn/an-nhon-bao-ton-di-san-van-hoa-gan-voi-phat-trien-du-lich-post361692.html</t>
  </si>
  <si>
    <t>https://www.google.com/maps/search/?api=1&amp;query_place_id=ChIJAyUuOQAVbzER3m0lew4CZug</t>
  </si>
  <si>
    <t>Địa điểm nhà thầy Trương Văn Hiến</t>
  </si>
  <si>
    <t>Thôn Thắng Công, phường Bình Định, tỉnh Gia Lai (xã Nhơn Phúc cũ)</t>
  </si>
  <si>
    <t>di tích lịch sử; Tây Sơn; giáo dục truyền thống; điểm tham quan</t>
  </si>
  <si>
    <t>Đã xếp hạng di tích lịch sử cấp tỉnh — QĐ 709/QĐ-UBND ngày 07/03/2019</t>
  </si>
  <si>
    <t>Nơi được cho là nhà của thầy Trương Văn Hiến, nơi ba anh em Tây Sơn từng học. Khu vực còn dấu nền móng cũ và giếng đá ong; đã có chủ trương xây dựng Nhà tưởng niệm.</t>
  </si>
  <si>
    <t>https://baogialai.com.vn/tuong-nho-ton-vinh-thay-giao-hien-post423886.html</t>
  </si>
  <si>
    <t>https://www.google.com/maps/search/?api=1&amp;query=%C4%90%E1%BB%8Ba%20%C4%91i%E1%BB%83m%20nh%C3%A0%20th%E1%BA%A7y%20Tr%C6%B0%C6%A1ng%20V%C4%83n%20Hi%E1%BA%BFn%2C%20Th%C3%B4n%20Th%E1%BA%AFng%20C%C3%B4ng%2C%20ph%C6%B0%E1%BB%9Dng%20B%C3%ACnh%20%C4%90%E1%BB%8Bnh%2C%20t%E1%BB%89nh%20Gia%20Lai%20%28x%C3%A3%20Nh%C6%A1n%20Ph%C3%BAc%20c%C5%A9%29</t>
  </si>
  <si>
    <t>Cần khảo sát GPS tại cổng/khuôn viên di tích vì nguồn công khai chưa cho tọa độ số chính xác.</t>
  </si>
  <si>
    <t>Phế tích khảo cổ Chăm</t>
  </si>
  <si>
    <t>Phế tích tháp An Hòa</t>
  </si>
  <si>
    <t>Thôn An Hòa, phường Bình Định, tỉnh Gia Lai; khu vực ven đường 636</t>
  </si>
  <si>
    <t>Nhơn Khánh</t>
  </si>
  <si>
    <t>khảo cổ; Champa; gò tháp Gãy; Tây Hạ Miếu</t>
  </si>
  <si>
    <t>Phế tích tháp Chăm ở An Hòa, dân gian còn gọi khu vực gò tháp Gãy/Tây Hạ Miếu; thuộc danh mục kiểm kê di tích năm 2026.</t>
  </si>
  <si>
    <t>https://www.google.com/maps/search/?api=1&amp;query=Ph%E1%BA%BF%20t%C3%ADch%20th%C3%A1p%20An%20H%C3%B2a%2C%20Th%C3%B4n%20An%20H%C3%B2a%2C%20ph%C6%B0%E1%BB%9Dng%20B%C3%ACnh%20%C4%90%E1%BB%8Bnh%2C%20t%E1%BB%89nh%20Gia%20Lai%3B%20khu%20v%E1%BB%B1c%20ven%20%C4%91%C6%B0%E1%BB%9Dng%20636</t>
  </si>
  <si>
    <t>Phế tích tháp Thông Hòa</t>
  </si>
  <si>
    <t>Thôn Thông Hòa, phường Bình Định, tỉnh Gia Lai</t>
  </si>
  <si>
    <t>khảo cổ; Champa; phế tích tháp Chăm</t>
  </si>
  <si>
    <t>Phế tích kiến trúc tháp Chăm tại thôn Thông Hòa, còn dấu vết vật liệu/nền móng; thuộc danh mục kiểm kê di tích năm 2026.</t>
  </si>
  <si>
    <t>https://www.google.com/maps/search/?api=1&amp;query=Ph%E1%BA%BF%20t%C3%ADch%20th%C3%A1p%20Th%C3%B4ng%20H%C3%B2a%2C%20Th%C3%B4n%20Th%C3%B4ng%20H%C3%B2a%2C%20ph%C6%B0%E1%BB%9Dng%20B%C3%ACnh%20%C4%90%E1%BB%8Bnh%2C%20t%E1%BB%89nh%20Gia%20Lai</t>
  </si>
  <si>
    <t>Thể thao</t>
  </si>
  <si>
    <t>Sân vận động thị xã An Nhơn</t>
  </si>
  <si>
    <t>84 Lê Hồng Phong, Bình Định, Gia Lai</t>
  </si>
  <si>
    <t>Bình Định cũ</t>
  </si>
  <si>
    <t>Chưa xác minh GPS số; dùng liên kết bản đồ</t>
  </si>
  <si>
    <t>di tích lịch sử; công trình thể thao; sự kiện 03/09/1945</t>
  </si>
  <si>
    <t>Kiểm kê 2026 theo QĐ 529/QĐ-UBND; đề xuất xếp hạng di tích cấp tỉnh giai đoạn 2030-2035</t>
  </si>
  <si>
    <t>Sân vận động Bình Định (Sân vận động thị xã An Nhơn) là địa điểm lịch sử gắn với cuộc mít-tinh ngày 03/09/1945; nằm trong danh mục kiểm kê di tích năm 2026.</t>
  </si>
  <si>
    <t>Địa chỉ hiện tại được ghi là Bình Định, Gia Lai; đối chiếu với phạm vi hợp nhất 3 đơn vị cũ.</t>
  </si>
  <si>
    <t>https://www.google.com/maps/search/?api=1&amp;query_place_id=ChIJGZ9j5xw-bzERbZ7vFj3z438</t>
  </si>
  <si>
    <t>Từ đường bên ngoại vua Duy Tân</t>
  </si>
  <si>
    <t>Khu vực Kim Châu, phường Bình Định, tỉnh Gia Lai</t>
  </si>
  <si>
    <t>lịch sử; dòng họ; vua Duy Tân</t>
  </si>
  <si>
    <t>Địa điểm lịch sử tại khu vực Kim Châu được đưa vào danh mục kiểm kê di tích của tỉnh năm 2026.</t>
  </si>
  <si>
    <t>https://www.google.com/maps/search/?api=1&amp;query=T%E1%BB%AB%20%C4%91%C6%B0%E1%BB%9Dng%20b%C3%AAn%20ngo%E1%BA%A1i%20vua%20Duy%20T%C3%A2n%2C%20Khu%20v%E1%BB%B1c%20Kim%20Ch%C3%A2u%2C%20ph%C6%B0%E1%BB%9Dng%20B%C3%ACnh%20%C4%90%E1%BB%8Bnh%2C%20t%E1%BB%89nh%20Gia%20Lai</t>
  </si>
  <si>
    <t>Chùa / hội quán</t>
  </si>
  <si>
    <t>Chùa An Hòa (Chùa Bà Trước)</t>
  </si>
  <si>
    <t>tâm linh; kiến trúc; An Thái; Lễ hội Đổ Giàn</t>
  </si>
  <si>
    <t>Nguồn văn hóa địa phương ghi cơ sở này hình thành khoảng năm 1760 trong không gian văn hóa An Thái.</t>
  </si>
  <si>
    <t>B</t>
  </si>
  <si>
    <t>https://www.google.com/maps/search/?api=1&amp;query=Ch%C3%B9a%20An%20H%C3%B2a%20%28Ch%C3%B9a%20B%C3%A0%20Tr%C6%B0%E1%BB%9Bc%29%2C%20Th%C3%B4n%20An%20Th%C3%A1i%2C%20ph%C6%B0%E1%BB%9Dng%20B%C3%ACnh%20%C4%90%E1%BB%8Bnh%2C%20t%E1%BB%89nh%20Gia%20Lai</t>
  </si>
  <si>
    <t>Chùa Bà Hỏa (Chùa Bà Sau)</t>
  </si>
  <si>
    <t>Nguồn văn hóa địa phương ghi cơ sở này hình thành khoảng năm 1847.</t>
  </si>
  <si>
    <t>https://www.google.com/maps/search/?api=1&amp;query=Ch%C3%B9a%20B%C3%A0%20H%E1%BB%8Fa%20%28Ch%C3%B9a%20B%C3%A0%20Sau%29%2C%20Th%C3%B4n%20An%20Th%C3%A1i%2C%20ph%C6%B0%E1%BB%9Dng%20B%C3%ACnh%20%C4%90%E1%BB%8Bnh%2C%20t%E1%BB%89nh%20Gia%20Lai</t>
  </si>
  <si>
    <t>Chùa</t>
  </si>
  <si>
    <t>Chùa Huệ Khánh</t>
  </si>
  <si>
    <t>0919088363</t>
  </si>
  <si>
    <t>tâm linh; chùa; An Thái</t>
  </si>
  <si>
    <t>https://www.google.com/maps/search/?api=1&amp;query_place_id=ChIJAR3qIuw9bzERD51dugj530Q</t>
  </si>
  <si>
    <t>Tâm linh</t>
  </si>
  <si>
    <t>Chùa Khánh Liên</t>
  </si>
  <si>
    <t>V4M8+VM9, Bình Định, Gia Lai</t>
  </si>
  <si>
    <t>V4M8+VM9</t>
  </si>
  <si>
    <t>Quy đổi tâm Plus Code V4M8+VM9</t>
  </si>
  <si>
    <t>06:00-20:00 (theo Maps tại thời điểm rà soát)</t>
  </si>
  <si>
    <t>https://www.google.com/maps/search/?api=1&amp;query_place_id=ChIJz0OFATU_bzERgICoBQcHsoA</t>
  </si>
  <si>
    <t>Chùa Nhơn Từ</t>
  </si>
  <si>
    <t>V2X9+QV8, Bình Định, Gia Lai</t>
  </si>
  <si>
    <t>V2X9+QV8</t>
  </si>
  <si>
    <t>Quy đổi tâm Plus Code V2X9+QV8</t>
  </si>
  <si>
    <t>Điểm văn hóa/tâm linh; không đồng nghĩa đã được xếp hạng danh lam thắng cảnh.</t>
  </si>
  <si>
    <t>https://www.google.com/maps/search/?api=1&amp;query_place_id=ChIJNcccEl09bzERRTEr0ux9NXU</t>
  </si>
  <si>
    <t>Chùa Ông An Thái</t>
  </si>
  <si>
    <t>tâm linh; hội quán; An Thái</t>
  </si>
  <si>
    <t>Một trong các cơ sở tín ngưỡng lịch sử của cộng đồng An Thái; nguồn văn hóa địa phương ghi hình thành khoảng năm 1919.</t>
  </si>
  <si>
    <t>https://www.google.com/maps/search/?api=1&amp;query=Ch%C3%B9a%20%C3%94ng%20An%20Th%C3%A1i%2C%20Th%C3%B4n%20An%20Th%C3%A1i%2C%20ph%C6%B0%E1%BB%9Dng%20B%C3%ACnh%20%C4%90%E1%BB%8Bnh%2C%20t%E1%BB%89nh%20Gia%20Lai</t>
  </si>
  <si>
    <t>Chùa Thiên An</t>
  </si>
  <si>
    <t>V4P6+FMP, Lê Hồng Phong, Bình Định, Gia Lai</t>
  </si>
  <si>
    <t>V4P6+FMP</t>
  </si>
  <si>
    <t>Quy đổi tâm Plus Code V4P6+FMP</t>
  </si>
  <si>
    <t>https://www.google.com/maps/search/?api=1&amp;query_place_id=ChIJ9T_BkR4-bzERtn_WlLi8GgE</t>
  </si>
  <si>
    <t>Chùa Tịnh Hòa</t>
  </si>
  <si>
    <t>V3R7+GHJ, Khánh Hòa, phường Bình Định, tỉnh Gia Lai</t>
  </si>
  <si>
    <t>V3R7+GHJ</t>
  </si>
  <si>
    <t>Giải mã Plus Code công khai V3R7+GHJ</t>
  </si>
  <si>
    <t>0389800176</t>
  </si>
  <si>
    <t>tâm linh; chùa</t>
  </si>
  <si>
    <t>https://www.google.com/maps/search/?api=1&amp;query_place_id=ChIJl-z55Ys9bzERk8aJxPzYM7I</t>
  </si>
  <si>
    <t>Chùa Trúc Liên</t>
  </si>
  <si>
    <t>V4P8+2P5, Bình Định, Gia Lai</t>
  </si>
  <si>
    <t>V4P8+2P5</t>
  </si>
  <si>
    <t>Quy đổi tâm Plus Code V4P8+2P5</t>
  </si>
  <si>
    <t>https://www.google.com/maps/search/?api=1&amp;query_place_id=ChIJ3YnNnQo_bzEReHa0GsoIZBY</t>
  </si>
  <si>
    <t>Đình làng</t>
  </si>
  <si>
    <t>Đình làng thôn Thông Hòa</t>
  </si>
  <si>
    <t>V3Q6+VJJ, Đội 9, Nhơn Khánh, phường Bình Định, tỉnh Gia Lai</t>
  </si>
  <si>
    <t>V3Q6+VJJ</t>
  </si>
  <si>
    <t>Giải mã Plus Code công khai V3Q6+VJJ</t>
  </si>
  <si>
    <t>đình làng; văn hóa cộng đồng</t>
  </si>
  <si>
    <t>https://www.google.com/maps/search/?api=1&amp;query_place_id=ChIJy-lGKgA9bzERLue_BuXaXZs</t>
  </si>
  <si>
    <t>Làng nghề / trải nghiệm</t>
  </si>
  <si>
    <t>Làng nghề bún khô - bánh tráng An Thái</t>
  </si>
  <si>
    <t>làng nghề; ẩm thực; du lịch cộng đồng; An Thái</t>
  </si>
  <si>
    <t>Không gian làng nghề truyền thống An Thái, phù hợp nhóm trải nghiệm văn hóa - ẩm thực; không phải một cơ sở duy nhất.</t>
  </si>
  <si>
    <t>https://www.google.com/maps/search/?api=1&amp;query=L%C3%A0ng%20ngh%E1%BB%81%20b%C3%BAn%20kh%C3%B4%20-%20b%C3%A1nh%20tr%C3%A1ng%20An%20Th%C3%A1i%2C%20Th%C3%B4n%20An%20Th%C3%A1i%2C%20ph%C6%B0%E1%BB%9Dng%20B%C3%ACnh%20%C4%90%E1%BB%8Bnh%2C%20t%E1%BB%89nh%20Gia%20Lai</t>
  </si>
  <si>
    <t>Làng võ / trải nghiệm</t>
  </si>
  <si>
    <t>Làng võ An Thái</t>
  </si>
  <si>
    <t>Khu vực An Thái, phường Bình Định, tỉnh Gia Lai</t>
  </si>
  <si>
    <t>võ cổ truyền; du lịch văn hóa; An Thái</t>
  </si>
  <si>
    <t>Không gian truyền thống võ An Thái; nên khảo sát danh sách võ đường đang hoạt động để lập lớp dữ liệu con.</t>
  </si>
  <si>
    <t>https://www.google.com/maps/search/?api=1&amp;query=L%C3%A0ng%20v%C3%B5%20An%20Th%C3%A1i%2C%20Khu%20v%E1%BB%B1c%20An%20Th%C3%A1i%2C%20ph%C6%B0%E1%BB%9Dng%20B%C3%ACnh%20%C4%90%E1%BB%8Bnh%2C%20t%E1%BB%89nh%20Gia%20Lai</t>
  </si>
  <si>
    <t>Miếu</t>
  </si>
  <si>
    <t>Miễu Phúc Tân</t>
  </si>
  <si>
    <t>W256+3XC, phường Bình Định, tỉnh Gia Lai</t>
  </si>
  <si>
    <t>W256+3XC</t>
  </si>
  <si>
    <t>Giải mã Plus Code công khai W256+3XC</t>
  </si>
  <si>
    <t>tín ngưỡng dân gian; miếu</t>
  </si>
  <si>
    <t>https://www.google.com/maps/search/?api=1&amp;query_place_id=ChIJIyZyXrA9bzERPaK1aoWcbkY</t>
  </si>
  <si>
    <t>Nhà Thờ Giáo Họ Phụ Ngọc</t>
  </si>
  <si>
    <t>Đập Phụ Ngọc, Bình Định, Gia Lai</t>
  </si>
  <si>
    <t>Địa danh Phụ Ngọc thuộc xã Nhơn Phúc cũ; toàn bộ Nhơn Phúc được nhập vào phường Bình Định theo NQ 1664.</t>
  </si>
  <si>
    <t>https://www.google.com/maps/search/?api=1&amp;query_place_id=ChIJB8NNMns9bzERZ5fEAwDa_w0</t>
  </si>
  <si>
    <t>Nhà Thờ Giáo Xứ Kim Châu</t>
  </si>
  <si>
    <t>V4R2+H88, Bình Định, Gia Lai</t>
  </si>
  <si>
    <t>V4R2+H88</t>
  </si>
  <si>
    <t>Quy đổi tâm Plus Code V4R2+H88</t>
  </si>
  <si>
    <t>0256 383 5746</t>
  </si>
  <si>
    <t>https://www.google.com/maps/search/?api=1&amp;query_place_id=ChIJT8ZqU_QVbzERt3PUFfz9qhc</t>
  </si>
  <si>
    <t>https://gpquinhon.org/nghe-thuat-thanh/gioi-thieu-hinh-anh-nha-tho-giao-xu-kim-chau-345.html</t>
  </si>
  <si>
    <t>Nhà thờ Thiên Chúa Giáo Tân Thành (Bình Định)</t>
  </si>
  <si>
    <t>Bình Định, Gia Lai</t>
  </si>
  <si>
    <t>Bình Định / khu vực phường mới</t>
  </si>
  <si>
    <t>C</t>
  </si>
  <si>
    <t>https://www.google.com/maps/search/?api=1&amp;query_place_id=ChIJvTj7mHMWbzERt3Qq_xtoKK4</t>
  </si>
  <si>
    <t>Nhà văn hóa</t>
  </si>
  <si>
    <t>Nhà văn hóa đa năng Nhơn Phúc</t>
  </si>
  <si>
    <t>W249+P64, khu vực Nhơn Phúc cũ, phường Bình Định, tỉnh Gia Lai</t>
  </si>
  <si>
    <t>W249+P64</t>
  </si>
  <si>
    <t>Giải mã Plus Code công khai W249+P64</t>
  </si>
  <si>
    <t>văn hóa cộng đồng; hội họp</t>
  </si>
  <si>
    <t>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</t>
  </si>
  <si>
    <t>Nhà Văn hóa xã Nhơn Khánh cũ</t>
  </si>
  <si>
    <t>Khu vực Nhơn Khánh cũ, phường Bình Định, tỉnh Gia Lai</t>
  </si>
  <si>
    <t>Địa điểm vẫn được UBND phường mới sử dụng làm nơi tổ chức lấy ý kiến/công việc cộng đồng sau sắp xếp.</t>
  </si>
  <si>
    <t>https://binhdinh.gialai.gov.vn/tin-tuc/phuong-binh-dinh-to-chuc-hoi-nghi-lay-y-kien-du-thao-de-an-sap-xep-to-chuc-lai-cac-to-dan-pho.html</t>
  </si>
  <si>
    <t>https://www.google.com/maps/search/?api=1&amp;query=Nh%C3%A0%20V%C4%83n%20h%C3%B3a%20x%C3%A3%20Nh%C6%A1n%20Kh%C3%A1nh%20c%C5%A9%2C%20Khu%20v%E1%BB%B1c%20Nh%C6%A1n%20Kh%C3%A1nh%20c%C5%A9%2C%20ph%C6%B0%E1%BB%9Dng%20B%C3%ACnh%20%C4%90%E1%BB%8Bnh%2C%20t%E1%BB%89nh%20Gia%20Lai</t>
  </si>
  <si>
    <t>Điểm tham quan đô thị</t>
  </si>
  <si>
    <t>Phố Chợ An Nhơn</t>
  </si>
  <si>
    <t>V4R5+4MW, Bình Định, Gia Lai</t>
  </si>
  <si>
    <t>V4R5+4MW</t>
  </si>
  <si>
    <t>Quy đổi tâm Plus Code V4R5+4MW</t>
  </si>
  <si>
    <t>Google Maps phân loại “Điểm thu hút khách du lịch”.</t>
  </si>
  <si>
    <t>https://www.google.com/maps/search/?api=1&amp;query_place_id=ChIJkddN1dc_bzERlswdPZOWi_s</t>
  </si>
  <si>
    <t>Miếu / điểm văn hóa</t>
  </si>
  <si>
    <t>Tây Hạ Miếu</t>
  </si>
  <si>
    <t>V3RG+RPJ, phường Bình Định, tỉnh Gia Lai</t>
  </si>
  <si>
    <t>V3RG+RPJ</t>
  </si>
  <si>
    <t>Giải mã Plus Code công khai V3RG+RPJ</t>
  </si>
  <si>
    <t>miếu; tín ngưỡng; gần phế tích tháp An Hòa</t>
  </si>
  <si>
    <t>Điểm tín ngưỡng trong cùng vùng cảnh quan/khảo cổ An Hòa; cần phân biệt với hồ sơ phế tích tháp An Hòa.</t>
  </si>
  <si>
    <t>https://www.google.com/maps/search/?api=1&amp;query_place_id=ChIJ-cD1OQA9bzER3gc-xOtK6m4</t>
  </si>
  <si>
    <t>Võ đường / di sản võ</t>
  </si>
  <si>
    <t>Từ đường cố danh sư võ học Diệp Trường Phát</t>
  </si>
  <si>
    <t>võ cổ truyền; danh sư; An Thái</t>
  </si>
  <si>
    <t>Điểm gắn với truyền thống võ An Thái và danh sư Diệp Trường Phát; cần bổ sung số nhà/GPS khi khảo sát thực địa.</t>
  </si>
  <si>
    <t>https://www.google.com/maps/search/?api=1&amp;query=T%E1%BB%AB%20%C4%91%C6%B0%E1%BB%9Dng%20c%E1%BB%91%20danh%20s%C6%B0%20v%C3%B5%20h%E1%BB%8Dc%20Di%E1%BB%87p%20Tr%C6%B0%E1%BB%9Dng%20Ph%C3%A1t%2C%20Khu%20v%E1%BB%B1c%20An%20Th%C3%A1i%2C%20ph%C6%B0%E1%BB%9Dng%20B%C3%ACnh%20%C4%90%E1%BB%8Bnh%2C%20t%E1%BB%89nh%20Gia%20Lai</t>
  </si>
  <si>
    <t>Cần xác minh vị trí cổng vào và thông tin liên hệ.</t>
  </si>
  <si>
    <t>Khách sạn / nhà nghỉ</t>
  </si>
  <si>
    <t>Hotel - Nhà Nghỉ Gia Lâm 2</t>
  </si>
  <si>
    <t>Đường Hồ Sĩ Tạo, Bình Định, Gia Lai</t>
  </si>
  <si>
    <t>0983 091 009</t>
  </si>
  <si>
    <t>https://www.google.com/maps/search/?api=1&amp;query_place_id=ChIJhV6uoRg-bzERLadUCN1hYMc</t>
  </si>
  <si>
    <t>Khách sạn</t>
  </si>
  <si>
    <t>Khách sạn Century</t>
  </si>
  <si>
    <t>02 Phan Đình Phùng, Bình Định, Gia Lai 55250</t>
  </si>
  <si>
    <t>Tọa độ số từ nguồn đối chiếu</t>
  </si>
  <si>
    <t>0708 044 044</t>
  </si>
  <si>
    <t>Google Travel; centurypalace.net (nguồn cũ)</t>
  </si>
  <si>
    <t>Số điện thoại hiện tại theo Google Travel/Maps. Nguồn Sổ Tay Vàng cũ hiển thị số khác.</t>
  </si>
  <si>
    <t>https://www.google.com.vn/travel/hotels/entity/ChoI17yi-pjmyOb2ARoNL2cvMTFwcjFtczFkMxAB</t>
  </si>
  <si>
    <t>https://sotayvang.com/khach-san-century-tt-binh-dinh/</t>
  </si>
  <si>
    <t>https://www.google.com/maps/search/?api=1&amp;query_place_id=ChIJ30Hzth8-bzERV55IjzEjzfY</t>
  </si>
  <si>
    <t>Nhà nghỉ</t>
  </si>
  <si>
    <t>Nhà nghỉ 444</t>
  </si>
  <si>
    <t>W248+Q6J, phường Bình Định, tỉnh Gia Lai</t>
  </si>
  <si>
    <t>W248+Q6J</t>
  </si>
  <si>
    <t>Giải mã Plus Code công khai W248+Q6J</t>
  </si>
  <si>
    <t>0942109409</t>
  </si>
  <si>
    <t>nhà nghỉ; lưu trú</t>
  </si>
  <si>
    <t>https://www.google.com/maps/search/?api=1&amp;query_place_id=ChIJo4MuU789bzERTxonaVU4jAw</t>
  </si>
  <si>
    <t>Nhà Nghỉ An Bình</t>
  </si>
  <si>
    <t>51 Hàm Nghi, Bình Định, Gia Lai</t>
  </si>
  <si>
    <t>https://www.google.com/maps/search/?api=1&amp;query_place_id=ChIJp2pxhfUVbzERFn0g5qDT81g</t>
  </si>
  <si>
    <t>Nhà nghỉ Gia Lâm</t>
  </si>
  <si>
    <t>V4R8+6F5, QL1A, phường Bình Định, tỉnh Gia Lai</t>
  </si>
  <si>
    <t>V4R8+6F5</t>
  </si>
  <si>
    <t>Giải mã Plus Code công khai V4R8+6F5</t>
  </si>
  <si>
    <t>0983110009</t>
  </si>
  <si>
    <t>https://www.google.com/maps/search/?api=1&amp;query_place_id=ChIJRakpgRg-bzERBGSUsUY1psE</t>
  </si>
  <si>
    <t>NiNa Hotel</t>
  </si>
  <si>
    <t>V4PC+4HC, Bình Định, Gia Lai</t>
  </si>
  <si>
    <t>V4PC+4HC</t>
  </si>
  <si>
    <t>Quy đổi tâm Plus Code V4PC+4HC</t>
  </si>
  <si>
    <t>0917 777 268</t>
  </si>
  <si>
    <t>https://www.google.com/maps/search/?api=1&amp;query_place_id=ChIJe-f0UwY_bzERHt91NyNuOHc</t>
  </si>
  <si>
    <t>One Hotel</t>
  </si>
  <si>
    <t>45 Trần Văn Ơn, Bình Định, Gia Lai 55250</t>
  </si>
  <si>
    <t>0704 088 088</t>
  </si>
  <si>
    <t>https://www.google.com/maps/search/?api=1&amp;query_place_id=ChIJgycv4a4VbzERKMh-YFjTEPk</t>
  </si>
  <si>
    <t>REX HOTEL AN NHON</t>
  </si>
  <si>
    <t>02 Cần Vương, Phường Bình Định, Tỉnh Gia Lai</t>
  </si>
  <si>
    <t>0256 383 5188; KD: 0788 686 869</t>
  </si>
  <si>
    <t>https://rexannhon.vn/ ; rexhotelannhon@gmail.com</t>
  </si>
  <si>
    <t>24/24</t>
  </si>
  <si>
    <t>Website chính thức của khách sạn xác nhận địa chỉ và liên hệ.</t>
  </si>
  <si>
    <t>https://rexannhon.vn/nha-hang-alacarte/</t>
  </si>
  <si>
    <t>https://www.google.com/maps/search/?api=1&amp;query_place_id=ChIJPUFBWwAVbzEROJlNjm3xiwg</t>
  </si>
  <si>
    <t>Ẩm thực chay</t>
  </si>
  <si>
    <t>Ẩm Thực Chay Tâm Phúc</t>
  </si>
  <si>
    <t>Lê Hồng Phong nối dài, Bình Định, Gia Lai</t>
  </si>
  <si>
    <t>0358 667 696</t>
  </si>
  <si>
    <t>06:00-13:30; 15:30-21:30</t>
  </si>
  <si>
    <t>https://www.google.com/maps/search/?api=1&amp;query_place_id=ChIJSw3nL3s_bzER56X5hgP7ENc</t>
  </si>
  <si>
    <t>Ẩm thực</t>
  </si>
  <si>
    <t>Ẩm Thực Sơ Ri Bình Định</t>
  </si>
  <si>
    <t>V4M7+FVM, Phan Đình Phùng, phường Bình Định, tỉnh Gia Lai</t>
  </si>
  <si>
    <t>V4M7+FVM</t>
  </si>
  <si>
    <t>Giải mã Plus Code công khai V4M7+FVM</t>
  </si>
  <si>
    <t>ẩm thực; quán ăn</t>
  </si>
  <si>
    <t>https://www.google.com/maps/search/?api=1&amp;query=%E1%BA%A8m%20Th%E1%BB%B1c%20S%C6%A1%20Ri%20B%C3%ACnh%20%C4%90%E1%BB%8Bnh%2C%20V4M7%2BFVM%2C%20Phan%20%C4%90%C3%ACnh%20Ph%C3%B9ng%2C%20ph%C6%B0%E1%BB%9Dng%20B%C3%ACnh%20%C4%90%E1%BB%8Bnh%2C%20t%E1%BB%89nh%20Gia%20Lai</t>
  </si>
  <si>
    <t>Bánh xèo</t>
  </si>
  <si>
    <t>Bánh xèo Cô Bự</t>
  </si>
  <si>
    <t>09 Phan Đăng Lưu, phường Bình Định, tỉnh Gia Lai</t>
  </si>
  <si>
    <t>bánh xèo; đặc sản</t>
  </si>
  <si>
    <t>https://www.google.com/maps/search/?api=1&amp;query_place_id=ChIJoQmuTfg_bzERxpzhzqiPmCE</t>
  </si>
  <si>
    <t>Bún bò</t>
  </si>
  <si>
    <t>Bún Bò 394</t>
  </si>
  <si>
    <t>394 Ngô Gia Tự, phường Bình Định, tỉnh Gia Lai</t>
  </si>
  <si>
    <t>bún bò</t>
  </si>
  <si>
    <t>https://www.google.com/maps/search/?api=1&amp;query_place_id=ChIJXVAK9hs-bzERpl-tSruQJeI</t>
  </si>
  <si>
    <t>Bún bò O Tý</t>
  </si>
  <si>
    <t>191 Thanh Niên, phường Bình Định, tỉnh Gia Lai</t>
  </si>
  <si>
    <t>https://www.google.com/maps/search/?api=1&amp;query_place_id=ChIJYW5pGgAVbzERJ55VkO9hONQ</t>
  </si>
  <si>
    <t>Cafe</t>
  </si>
  <si>
    <t>Cafe An Thái</t>
  </si>
  <si>
    <t>W25C+GMQ, An Thái, phường Bình Định, tỉnh Gia Lai</t>
  </si>
  <si>
    <t>W25C+GMQ</t>
  </si>
  <si>
    <t>Giải mã Plus Code công khai W25C+GMQ</t>
  </si>
  <si>
    <t>0935644299</t>
  </si>
  <si>
    <t>cafe; An Thái</t>
  </si>
  <si>
    <t>https://www.google.com/maps/search/?api=1&amp;query=Cafe%20An%20Th%C3%A1i%2C%20W25C%2BGMQ%2C%20An%20Th%C3%A1i%2C%20ph%C6%B0%E1%BB%9Dng%20B%C3%ACnh%20%C4%90%E1%BB%8Bnh%2C%20t%E1%BB%89nh%20Gia%20Lai</t>
  </si>
  <si>
    <t>Cơm gia đình</t>
  </si>
  <si>
    <t>Cơm gà Ta và Cơm Gia Đình 233</t>
  </si>
  <si>
    <t>261 Trần Phú, phường Bình Định, tỉnh Gia Lai</t>
  </si>
  <si>
    <t>0935836396</t>
  </si>
  <si>
    <t>cơm gà; cơm gia đình</t>
  </si>
  <si>
    <t>https://www.google.com/maps/search/?api=1&amp;query_place_id=ChIJa1naAx8-bzERKzsT9fPxkYs</t>
  </si>
  <si>
    <t>Trà sữa</t>
  </si>
  <si>
    <t>Doong Cha</t>
  </si>
  <si>
    <t>04 Hàm Nghi, phường Bình Định, tỉnh Gia Lai</t>
  </si>
  <si>
    <t>0935025359</t>
  </si>
  <si>
    <t>trà sữa; đồ uống</t>
  </si>
  <si>
    <t>https://www.google.com/maps/search/?api=1&amp;query=Doong%20Cha%2C%2004%20H%C3%A0m%20Nghi%2C%20ph%C6%B0%E1%BB%9Dng%20B%C3%ACnh%20%C4%90%E1%BB%8Bnh%2C%20t%E1%BB%89nh%20Gia%20Lai</t>
  </si>
  <si>
    <t>Cafe / trà</t>
  </si>
  <si>
    <t>H.E.M Coffee &amp; Tea</t>
  </si>
  <si>
    <t>12 Võ Thị Yến, phường Bình Định, tỉnh Gia Lai</t>
  </si>
  <si>
    <t>0964995095</t>
  </si>
  <si>
    <t>cafe; trà</t>
  </si>
  <si>
    <t>https://www.google.com/maps/search/?api=1&amp;query_place_id=ChIJJ97Mxgo_bzER28p9Rh0CPrE</t>
  </si>
  <si>
    <t>LAGIM COFFEE &amp; TEA HOUSE</t>
  </si>
  <si>
    <t>52 Nguyễn Đình Chiểu, phường Bình Định, tỉnh Gia Lai</t>
  </si>
  <si>
    <t>0964746300</t>
  </si>
  <si>
    <t>https://www.google.com/maps/search/?api=1&amp;query_place_id=ChIJa5y9LEY_bzERLfiVucW6Vr4</t>
  </si>
  <si>
    <t>Mì</t>
  </si>
  <si>
    <t>Mì bò Đài Loan</t>
  </si>
  <si>
    <t>11 Phan Đình Phùng, phường Bình Định, tỉnh Gia Lai</t>
  </si>
  <si>
    <t>0903772250</t>
  </si>
  <si>
    <t>mì; ăn nhanh</t>
  </si>
  <si>
    <t>https://www.google.com/maps/search/?api=1&amp;query=M%C3%AC%20b%C3%B2%20%C4%90%C3%A0i%20Loan%2C%2011%20Phan%20%C4%90%C3%ACnh%20Ph%C3%B9ng%2C%20ph%C6%B0%E1%BB%9Dng%20B%C3%ACnh%20%C4%90%E1%BB%8Bnh%2C%20t%E1%BB%89nh%20Gia%20Lai</t>
  </si>
  <si>
    <t>Nhà hàng chay</t>
  </si>
  <si>
    <t>Nhà hàng Chay Thiện Phước</t>
  </si>
  <si>
    <t>Lê Hồng Phong, phường Bình Định, tỉnh Gia Lai</t>
  </si>
  <si>
    <t>0903990168</t>
  </si>
  <si>
    <t>chay; nhà hàng</t>
  </si>
  <si>
    <t>https://www.google.com/maps/search/?api=1&amp;query_place_id=ChIJC9zs6Sw_bzERL9BXJGKTNwQ</t>
  </si>
  <si>
    <t>Nhà hàng</t>
  </si>
  <si>
    <t>Nhà hàng Hoa Tân An 1</t>
  </si>
  <si>
    <t>499 Trần Phú, Bình Định, Gia Lai</t>
  </si>
  <si>
    <t>V4HC+58V</t>
  </si>
  <si>
    <t>0935 835 899</t>
  </si>
  <si>
    <t>09:00-20:00</t>
  </si>
  <si>
    <t>Tọa độ đối chiếu từ cổng du lịch địa phương/nguồn điểm đến.</t>
  </si>
  <si>
    <t>https://www.google.com/maps/search/?api=1&amp;query_place_id=ChIJCarclYsVbzERpfc1hLpm4XQ</t>
  </si>
  <si>
    <t>Nhà hàng Như Ngà</t>
  </si>
  <si>
    <t>05 Võ Xán, Bình Định, Gia Lai</t>
  </si>
  <si>
    <t>0932 552 552</t>
  </si>
  <si>
    <t>https://www.google.com/maps/search/?api=1&amp;query_place_id=ChIJKTmRDowVbzERZzpteDw7olc</t>
  </si>
  <si>
    <t>Hải sản / ốc</t>
  </si>
  <si>
    <t>Ốc Chảo An Nhơn</t>
  </si>
  <si>
    <t>133 Ngô Gia Tự, phường Bình Định, tỉnh Gia Lai</t>
  </si>
  <si>
    <t>0933471455</t>
  </si>
  <si>
    <t>ốc; ăn tối</t>
  </si>
  <si>
    <t>https://www.google.com/maps/search/?api=1&amp;query_place_id=ChIJcc5XqGg_bzERlq7bi0VFwnk</t>
  </si>
  <si>
    <t>Phở</t>
  </si>
  <si>
    <t>Phở Năm Tự - Quán Cây Sung</t>
  </si>
  <si>
    <t>100 Ngô Gia Tự, phường Bình Định, tỉnh Gia Lai</t>
  </si>
  <si>
    <t>phở; ăn sáng</t>
  </si>
  <si>
    <t>https://www.google.com/maps/search/?api=1&amp;query_place_id=ChIJSfD2Ya8_bzERahwWUJr4N_c</t>
  </si>
  <si>
    <t>PHỞ TIỀN</t>
  </si>
  <si>
    <t>134 Trần Phú, phường Bình Định, tỉnh Gia Lai</t>
  </si>
  <si>
    <t>0798775567</t>
  </si>
  <si>
    <t>https://www.google.com/maps/search/?api=1&amp;query=PH%E1%BB%9E%20TI%E1%BB%80N%2C%20134%20Tr%E1%BA%A7n%20Ph%C3%BA%2C%20ph%C6%B0%E1%BB%9Dng%20B%C3%ACnh%20%C4%90%E1%BB%8Bnh%2C%20t%E1%BB%89nh%20Gia%20Lai</t>
  </si>
  <si>
    <t>Quán ăn</t>
  </si>
  <si>
    <t>Quán 2 Khánh</t>
  </si>
  <si>
    <t>32 Đào Duy Từ, phường Bình Định, tỉnh Gia Lai</t>
  </si>
  <si>
    <t>0348545002</t>
  </si>
  <si>
    <t>quán ăn</t>
  </si>
  <si>
    <t>https://www.google.com/maps/search/?api=1&amp;query=Qu%C3%A1n%202%20Kh%C3%A1nh%2C%2032%20%C4%90%C3%A0o%20Duy%20T%E1%BB%AB%2C%20ph%C6%B0%E1%BB%9Dng%20B%C3%ACnh%20%C4%90%E1%BB%8Bnh%2C%20t%E1%BB%89nh%20Gia%20Lai</t>
  </si>
  <si>
    <t>Quán chay</t>
  </si>
  <si>
    <t>Quán ăn Chay 236 Quang Trung</t>
  </si>
  <si>
    <t>236 Quang Trung, phường Bình Định, tỉnh Gia Lai</t>
  </si>
  <si>
    <t>chay; quán ăn</t>
  </si>
  <si>
    <t>https://www.google.com/maps/search/?api=1&amp;query_place_id=ChIJB4GeRwA_bzER6qy8Uz-VVHc</t>
  </si>
  <si>
    <t>Nhà hàng gia đình</t>
  </si>
  <si>
    <t>Quán ăn gia đình Hoàn Linh</t>
  </si>
  <si>
    <t>05 Chế Lan Viên, Bình Định, Gia Lai</t>
  </si>
  <si>
    <t>0935 277 237</t>
  </si>
  <si>
    <t>09:00-21:00</t>
  </si>
  <si>
    <t>https://www.google.com/maps/search/?api=1&amp;query_place_id=ChIJ5asymUI_bzERbSZTeV0r1iU</t>
  </si>
  <si>
    <t>Quán Ăn Hường 2</t>
  </si>
  <si>
    <t>02 Nguyễn Đình Chiểu, Bình Định, Gia Lai</t>
  </si>
  <si>
    <t>0256 363 5246</t>
  </si>
  <si>
    <t>https://www.google.com/maps/search/?api=1&amp;query=Qu%C3%A1n%20%C4%82n%20H%C6%B0%E1%BB%9Dng%202%2C%2002%20Nguy%E1%BB%85n%20%C4%90%C3%ACnh%20Chi%E1%BB%83u%2C%20B%C3%ACnh%20%C4%90%E1%BB%8Bnh%2C%20Gia%20Lai</t>
  </si>
  <si>
    <t>Cơm / nhà hàng</t>
  </si>
  <si>
    <t>Quán Cơm Hương Lúa</t>
  </si>
  <si>
    <t>23 Quang Trung, Bình Định, Gia Lai</t>
  </si>
  <si>
    <t>0256 373 5223</t>
  </si>
  <si>
    <t>09:30-20:15</t>
  </si>
  <si>
    <t>https://www.google.com/maps/search/?api=1&amp;query_place_id=ChIJBY9sYO0_bzERZVH1Eevcc5I</t>
  </si>
  <si>
    <t>Quán Hội Ngộ</t>
  </si>
  <si>
    <t>Đường Cần Vương, phường Bình Định, tỉnh Gia Lai</t>
  </si>
  <si>
    <t>0985552135</t>
  </si>
  <si>
    <t>quán ăn; hội họp</t>
  </si>
  <si>
    <t>https://www.google.com/maps/search/?api=1&amp;query_place_id=ChIJLfP4ZFg_bzERXPL4xNAiFXc</t>
  </si>
  <si>
    <t>Đặc sản / cơ sở sản xuất</t>
  </si>
  <si>
    <t>Rượu Bàu Đá Tài Vân - Nhơn Khánh</t>
  </si>
  <si>
    <t>V3Q6+HV2, Bình Định, Gia Lai</t>
  </si>
  <si>
    <t>V3Q6+HV2</t>
  </si>
  <si>
    <t>Quy đổi tâm Plus Code V3Q6+HV2</t>
  </si>
  <si>
    <t>0373 164 822</t>
  </si>
  <si>
    <t>06:30-18:00</t>
  </si>
  <si>
    <t>Tên cơ sở và vị trí xác định khu vực Nhơn Khánh cũ; toàn bộ Nhơn Khánh nhập vào phường Bình Định.</t>
  </si>
  <si>
    <t>https://www.google.com/maps/search/?api=1&amp;query_place_id=ChIJ_V1iZgA9bzERDLWyZn0LDvQ</t>
  </si>
  <si>
    <t>SKY Coffee</t>
  </si>
  <si>
    <t>02 Phan Đình Phùng, phường Bình Định, tỉnh Gia Lai</t>
  </si>
  <si>
    <t>cafe; đồ uống</t>
  </si>
  <si>
    <t>https://www.google.com/maps/search/?api=1&amp;query=SKY%20Coffee%2C%2002%20Phan%20%C4%90%C3%ACnh%20Ph%C3%B9ng%2C%20ph%C6%B0%E1%BB%9Dng%20B%C3%ACnh%20%C4%90%E1%BB%8Bnh%2C%20t%E1%BB%89nh%20Gia%20Lai</t>
  </si>
  <si>
    <t>Lẩu nướng</t>
  </si>
  <si>
    <t>Thế Giới Lẩu-Nướng An Fú</t>
  </si>
  <si>
    <t>06 Trần Bình Trọng, phường Bình Định, tỉnh Gia Lai</t>
  </si>
  <si>
    <t>lẩu; nướng</t>
  </si>
  <si>
    <t>https://www.google.com/maps/search/?api=1&amp;query_place_id=ChIJk_G4DRc_bzERIX1AthXCpIc</t>
  </si>
  <si>
    <t>Trà Sữa Gấu</t>
  </si>
  <si>
    <t>33 Lê Hồng Phong, phường Bình Định, tỉnh Gia Lai</t>
  </si>
  <si>
    <t>0847480456</t>
  </si>
  <si>
    <t>https://www.google.com/maps/search/?api=1&amp;query_place_id=ChIJLcnfsRY_bzERSYVViKrtYWo</t>
  </si>
  <si>
    <t>Trà sữa Monta</t>
  </si>
  <si>
    <t>V4M4+QFJ, Nguyễn Đình Chiểu, phường Bình Định, tỉnh Gia Lai</t>
  </si>
  <si>
    <t>V4M4+QFJ</t>
  </si>
  <si>
    <t>Giải mã Plus Code công khai V4M4+QFJ</t>
  </si>
  <si>
    <t>https://www.google.com/maps/search/?api=1&amp;query=Tr%C3%A0%20s%E1%BB%AFa%20Monta%2C%20V4M4%2BQFJ%2C%20Nguy%E1%BB%85n%20%C4%90%C3%ACnh%20Chi%E1%BB%83u%2C%20ph%C6%B0%E1%BB%9Dng%20B%C3%ACnh%20%C4%90%E1%BB%8Bnh%2C%20t%E1%BB%89nh%20Gia%20Lai</t>
  </si>
  <si>
    <t>Trà Sữa Su Su</t>
  </si>
  <si>
    <t>99/2 Thanh Niên, phường Bình Định, tỉnh Gia Lai</t>
  </si>
  <si>
    <t>https://www.google.com/maps/search/?api=1&amp;query_place_id=ChIJm492JR0-bzER5Hy6QPe5GhE</t>
  </si>
  <si>
    <t>Billiards</t>
  </si>
  <si>
    <t>Billiards NT Bình Định</t>
  </si>
  <si>
    <t>V4Q2+FFX, phường Bình Định, tỉnh Gia Lai</t>
  </si>
  <si>
    <t>V4Q2+FFX</t>
  </si>
  <si>
    <t>Giải mã Plus Code công khai V4Q2+FFX</t>
  </si>
  <si>
    <t>0964801805</t>
  </si>
  <si>
    <t>billiards; giải trí</t>
  </si>
  <si>
    <t>https://www.google.com/maps/search/?api=1&amp;query=Billiards%20NT%20B%C3%ACnh%20%C4%90%E1%BB%8Bnh%2C%20V4Q2%2BFFX%2C%20ph%C6%B0%E1%BB%9Dng%20B%C3%ACnh%20%C4%90%E1%BB%8Bnh%2C%20t%E1%BB%89nh%20Gia%20Lai</t>
  </si>
  <si>
    <t>Công viên nước</t>
  </si>
  <si>
    <t>Công viên nước An Nhơn</t>
  </si>
  <si>
    <t>V4J5+HCH, Nguyễn Thị Minh Khai, Bình Định, Gia Lai</t>
  </si>
  <si>
    <t>V4J5+HCH</t>
  </si>
  <si>
    <t>Quy đổi tâm Plus Code V4J5+HCH</t>
  </si>
  <si>
    <t>06:00-21:00</t>
  </si>
  <si>
    <t>https://www.google.com/maps/search/?api=1&amp;query_place_id=ChIJ86BCA_cVbzERB3oi0LU-hHQ</t>
  </si>
  <si>
    <t>Công viên</t>
  </si>
  <si>
    <t>Công viên phố chợ An Nhơn</t>
  </si>
  <si>
    <t>V4R4+48H, phường Bình Định, tỉnh Gia Lai</t>
  </si>
  <si>
    <t>V4R4+48H</t>
  </si>
  <si>
    <t>Giải mã Plus Code công khai V4R4+48H</t>
  </si>
  <si>
    <t>công viên; không gian công cộng</t>
  </si>
  <si>
    <t>https://www.google.com/maps/search/?api=1&amp;query=C%C3%B4ng%20vi%C3%AAn%20ph%E1%BB%91%20ch%E1%BB%A3%20An%20Nh%C6%A1n%2C%20V4R4%2B48H%2C%20ph%C6%B0%E1%BB%9Dng%20B%C3%ACnh%20%C4%90%E1%BB%8Bnh%2C%20t%E1%BB%89nh%20Gia%20Lai</t>
  </si>
  <si>
    <t>Công viên Trung tâm</t>
  </si>
  <si>
    <t>42 Nguyễn Thị Minh Khai, Bình Định, Gia Lai</t>
  </si>
  <si>
    <t>https://www.google.com/maps/search/?api=1&amp;query_place_id=ChIJmVkNShw-bzERe2khdK_t_rk</t>
  </si>
  <si>
    <t>Thể hình</t>
  </si>
  <si>
    <t>Dũng Fitness Center</t>
  </si>
  <si>
    <t>V4R2+XJM, Bình Định, Gia Lai</t>
  </si>
  <si>
    <t>V4R2+XJM</t>
  </si>
  <si>
    <t>Quy đổi tâm Plus Code V4R2+XJM</t>
  </si>
  <si>
    <t>0935 572 468</t>
  </si>
  <si>
    <t>https://www.google.com/maps/search/?api=1&amp;query_place_id=ChIJp0AWlpo_bzERXayad0g2FMc</t>
  </si>
  <si>
    <t>Karaoke</t>
  </si>
  <si>
    <t>Karaoke Bin Bin</t>
  </si>
  <si>
    <t>135 Thanh Niên, phường Bình Định, tỉnh Gia Lai</t>
  </si>
  <si>
    <t>0334502408</t>
  </si>
  <si>
    <t>karaoke; giải trí</t>
  </si>
  <si>
    <t>https://www.google.com/maps/search/?api=1&amp;query=Karaoke%20Bin%20Bin%2C%20135%20Thanh%20Ni%C3%AAn%2C%20ph%C6%B0%E1%BB%9Dng%20B%C3%ACnh%20%C4%90%E1%BB%8Bnh%2C%20t%E1%BB%89nh%20Gia%20Lai</t>
  </si>
  <si>
    <t>Karaoke Kiều Vy</t>
  </si>
  <si>
    <t>117 Thanh Niên, phường Bình Định, tỉnh Gia Lai</t>
  </si>
  <si>
    <t>0899934009</t>
  </si>
  <si>
    <t>https://www.google.com/maps/search/?api=1&amp;query=Karaoke%20Ki%E1%BB%81u%20Vy%2C%20117%20Thanh%20Ni%C3%AAn%2C%20ph%C6%B0%E1%BB%9Dng%20B%C3%ACnh%20%C4%90%E1%BB%8Bnh%2C%20t%E1%BB%89nh%20Gia%20Lai</t>
  </si>
  <si>
    <t>Karaoke Kim Thoa</t>
  </si>
  <si>
    <t>W23J+6H, khu vực Nhơn Phúc cũ, phường Bình Định, tỉnh Gia Lai</t>
  </si>
  <si>
    <t>W23J+6H</t>
  </si>
  <si>
    <t>Giải mã Plus Code công khai W23J+6H</t>
  </si>
  <si>
    <t>https://www.google.com/maps/search/?api=1&amp;query=Karaoke%20Kim%20Thoa%2C%20W23J%2B6H%2C%20khu%20v%E1%BB%B1c%20Nh%C6%A1n%20Ph%C3%BAc%20c%C5%A9%2C%20ph%C6%B0%E1%BB%9Dng%20B%C3%ACnh%20%C4%90%E1%BB%8Bnh%2C%20t%E1%BB%89nh%20Gia%20Lai</t>
  </si>
  <si>
    <t>Cần xác minh lại số điện thoại và giờ hoạt động.</t>
  </si>
  <si>
    <t>Công viên giải trí</t>
  </si>
  <si>
    <t>Khu vui chơi giải trí Nam Sơn - CN Nhơn Phúc</t>
  </si>
  <si>
    <t>W249+G7, Bình Định, Gia Lai</t>
  </si>
  <si>
    <t>W249+G7</t>
  </si>
  <si>
    <t>Quy đổi tâm Plus Code W249+G7</t>
  </si>
  <si>
    <t>0976 706 352</t>
  </si>
  <si>
    <t>17:00-21:00</t>
  </si>
  <si>
    <t>Tên chi nhánh xác định Nhơn Phúc cũ; toàn bộ Nhơn Phúc nhập vào phường Bình Định.</t>
  </si>
  <si>
    <t>https://www.google.com/maps/search/?api=1&amp;query_place_id=ChIJA5nU9AI9bzERXaLFMyoZcq4</t>
  </si>
  <si>
    <t>Trẻ em</t>
  </si>
  <si>
    <t>Khu vui chơi Sica Kids</t>
  </si>
  <si>
    <t>44-46 Lương Thế Vinh, Bình Định, Gia Lai</t>
  </si>
  <si>
    <t>0903 978 220</t>
  </si>
  <si>
    <t>https://www.google.com/maps/search/?api=1&amp;query_place_id=ChIJGZ5po6w_bzERVDKVkqmmg6M</t>
  </si>
  <si>
    <t>Gym</t>
  </si>
  <si>
    <t>NX GYM</t>
  </si>
  <si>
    <t>38 Phan Đình Phùng, phường Bình Định, tỉnh Gia Lai</t>
  </si>
  <si>
    <t>0934795059</t>
  </si>
  <si>
    <t>gym; fitness</t>
  </si>
  <si>
    <t>https://www.google.com/maps/search/?api=1&amp;query=NX%20GYM%2C%2038%20Phan%20%C4%90%C3%ACnh%20Ph%C3%B9ng%2C%20ph%C6%B0%E1%BB%9Dng%20B%C3%ACnh%20%C4%90%E1%BB%8Bnh%2C%20t%E1%BB%89nh%20Gia%20Lai</t>
  </si>
  <si>
    <t>Quảng trường</t>
  </si>
  <si>
    <t>Quảng trường Trung Tâm phường Bình Định</t>
  </si>
  <si>
    <t>V4M9+R87, Tổ Tiên Hội, Bình Định, Gia Lai</t>
  </si>
  <si>
    <t>V4M9+R87</t>
  </si>
  <si>
    <t>Quy đổi tâm Plus Code V4M9+R87</t>
  </si>
  <si>
    <t>https://www.google.com/maps/search/?api=1&amp;query_place_id=ChIJ5QgWqCk_bzERbH6hZp2nC20</t>
  </si>
  <si>
    <t>Sân bóng / cafe</t>
  </si>
  <si>
    <t>Sân bóng &amp; cà phê Toàn Thắng</t>
  </si>
  <si>
    <t>20 Trần Thị Kỷ, phường Bình Định, tỉnh Gia Lai</t>
  </si>
  <si>
    <t>0702779999</t>
  </si>
  <si>
    <t>sân bóng; cafe; thể thao</t>
  </si>
  <si>
    <t>https://www.google.com/maps/search/?api=1&amp;query=S%C3%A2n%20b%C3%B3ng%20%26%20c%C3%A0%20ph%C3%AA%20To%C3%A0n%20Th%E1%BA%AFng%2C%2020%20Tr%E1%BA%A7n%20Th%E1%BB%8B%20K%E1%BB%B7%2C%20ph%C6%B0%E1%BB%9Dng%20B%C3%ACnh%20%C4%90%E1%BB%8Bnh%2C%20t%E1%BB%89nh%20Gia%20Lai</t>
  </si>
  <si>
    <t>Sân vận động</t>
  </si>
  <si>
    <t>Sân vận động xã Nhơn Khánh</t>
  </si>
  <si>
    <t>V3R8+FQ6, khu vực Nhơn Khánh cũ, phường Bình Định, tỉnh Gia Lai</t>
  </si>
  <si>
    <t>V3R8+FQ6</t>
  </si>
  <si>
    <t>Giải mã Plus Code công khai V3R8+FQ6</t>
  </si>
  <si>
    <t>sân bóng; thể thao cộng đồng</t>
  </si>
  <si>
    <t>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</t>
  </si>
  <si>
    <t>Sân vận động xã Nhơn Phúc</t>
  </si>
  <si>
    <t>W229+WJC, khu vực Nhơn Phúc cũ, phường Bình Định, tỉnh Gia Lai</t>
  </si>
  <si>
    <t>W229+WJC</t>
  </si>
  <si>
    <t>Giải mã Plus Code công khai W229+WJC</t>
  </si>
  <si>
    <t>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</t>
  </si>
  <si>
    <t>Won Sport Billiards Club</t>
  </si>
  <si>
    <t>Đường Nguyễn Sinh Sắc, Khu Bắc Sông, phường Bình Định, tỉnh Gia Lai</t>
  </si>
  <si>
    <t>0337719079</t>
  </si>
  <si>
    <t>https://www.google.com/maps/search/?api=1&amp;query=Won%20Sport%20Billiards%20Club%2C%20%C4%90%C6%B0%E1%BB%9Dng%20Nguy%E1%BB%85n%20Sinh%20S%E1%BA%AFc%2C%20Khu%20B%E1%BA%AFc%20S%C3%B4ng%2C%20ph%C6%B0%E1%BB%9Dng%20B%C3%ACnh%20%C4%90%E1%BB%8Bnh%2C%20t%E1%BB%89nh%20Gia%20Lai</t>
  </si>
  <si>
    <t>Nha khoa</t>
  </si>
  <si>
    <t>Nha khoa An Định</t>
  </si>
  <si>
    <t>234 Trần Phú, phường Bình Định, tỉnh Gia Lai</t>
  </si>
  <si>
    <t>0969519444</t>
  </si>
  <si>
    <t>nha khoa</t>
  </si>
  <si>
    <t>https://www.google.com/maps/search/?api=1&amp;query_place_id=ChIJQ9cM_R4-bzERK3mAAotoPxc</t>
  </si>
  <si>
    <t>Nha Khoa Đông Nam Á</t>
  </si>
  <si>
    <t>84 Trần Phú, phường Bình Định, tỉnh Gia Lai</t>
  </si>
  <si>
    <t>0794525579</t>
  </si>
  <si>
    <t>https://www.google.com/maps/search/?api=1&amp;query=Nha%20Khoa%20%C4%90%C3%B4ng%20Nam%20%C3%81%2C%2084%20Tr%E1%BA%A7n%20Ph%C3%BA%2C%20ph%C6%B0%E1%BB%9Dng%20B%C3%ACnh%20%C4%90%E1%BB%8Bnh%2C%20t%E1%BB%89nh%20Gia%20Lai</t>
  </si>
  <si>
    <t>Nha Khoa Tâm An</t>
  </si>
  <si>
    <t>105 Trần Phú, phường Bình Định, tỉnh Gia Lai</t>
  </si>
  <si>
    <t>0937224768</t>
  </si>
  <si>
    <t>https://www.google.com/maps/search/?api=1&amp;query=Nha%20Khoa%20T%C3%A2m%20An%2C%20105%20Tr%E1%BA%A7n%20Ph%C3%BA%2C%20ph%C6%B0%E1%BB%9Dng%20B%C3%ACnh%20%C4%90%E1%BB%8Bnh%2C%20t%E1%BB%89nh%20Gia%20Lai</t>
  </si>
  <si>
    <t>Nha khoa Tâm Phúc</t>
  </si>
  <si>
    <t>18 Lê Hồng Phong, phường Bình Định, tỉnh Gia Lai</t>
  </si>
  <si>
    <t>https://www.google.com/maps/search/?api=1&amp;query=Nha%20khoa%20T%C3%A2m%20Ph%C3%BAc%2C%2018%20L%C3%AA%20H%E1%BB%93ng%20Phong%2C%20ph%C6%B0%E1%BB%9Dng%20B%C3%ACnh%20%C4%90%E1%BB%8Bnh%2C%20t%E1%BB%89nh%20Gia%20Lai</t>
  </si>
  <si>
    <t>Nha khoa Thành Đạt 3 - CN Nhơn Phúc</t>
  </si>
  <si>
    <t>124 An Thái - Nhơn Phúc, phường Bình Định, tỉnh Gia Lai</t>
  </si>
  <si>
    <t>0903941059</t>
  </si>
  <si>
    <t>https://www.google.com/maps/search/?api=1&amp;query=Nha%20khoa%20Th%C3%A0nh%20%C4%90%E1%BA%A1t%203%20-%20CN%20Nh%C6%A1n%20Ph%C3%BAc%2C%20124%20An%20Th%C3%A1i%20-%20Nh%C6%A1n%20Ph%C3%BAc%2C%20ph%C6%B0%E1%BB%9Dng%20B%C3%ACnh%20%C4%90%E1%BB%8Bnh%2C%20t%E1%BB%89nh%20Gia%20Lai</t>
  </si>
  <si>
    <t>Nhà thuốc</t>
  </si>
  <si>
    <t>Nhà Thuốc An Nhơn</t>
  </si>
  <si>
    <t>48 Quang Trung, Bình Định, Gia Lai</t>
  </si>
  <si>
    <t>0256 373 6709</t>
  </si>
  <si>
    <t>Một danh bạ nhà thuốc cũ có số khác; nên xác nhận trước khi gọi nếu giao dịch quan trọng.</t>
  </si>
  <si>
    <t>https://www.google.com/maps/search/?api=1&amp;query_place_id=ChIJKXiWuB4-bzERqepOz7TtkqM</t>
  </si>
  <si>
    <t>NHÀ THUỐC GIANG SAN</t>
  </si>
  <si>
    <t>04 Trần Phú, Bình Định, Gia Lai</t>
  </si>
  <si>
    <t>06:30-18:30</t>
  </si>
  <si>
    <t>https://www.google.com/maps/search/?api=1&amp;query_place_id=ChIJtfF4eAA_bzERFzkhc7jjfME</t>
  </si>
  <si>
    <t>Nhà Thuốc Thích 24h</t>
  </si>
  <si>
    <t>344 Ngô Gia Tự, Bình Định, Gia Lai</t>
  </si>
  <si>
    <t>0968 467 088</t>
  </si>
  <si>
    <t>Khoảng 06:00-21:00 (theo Maps)</t>
  </si>
  <si>
    <t>https://www.google.com/maps/search/?api=1&amp;query_place_id=ChIJk-4fo4I_bzERCrLZviLgCpg</t>
  </si>
  <si>
    <t>Phòng khám</t>
  </si>
  <si>
    <t>PHÒNG KHÁM ĐA KHOA GIANG SAN</t>
  </si>
  <si>
    <t>14 Trần Phú, Bình Định, Gia Lai</t>
  </si>
  <si>
    <t>0256 363 5489</t>
  </si>
  <si>
    <t>https://www.google.com/maps/search/?api=1&amp;query_place_id=ChIJSZ7_Q3E-bzERGmNcEJFlnNE</t>
  </si>
  <si>
    <t>PHÒNG KHÁM ĐA KHOA HVN BÌNH AN</t>
  </si>
  <si>
    <t>Lô 11-12 Nguyễn Văn Linh, Phường Bình Định, Tỉnh Gia Lai</t>
  </si>
  <si>
    <t>0353 011 115</t>
  </si>
  <si>
    <t>Website cơ sở; Giấy phép 00910/GL-GPHĐ</t>
  </si>
  <si>
    <t>07:00-11:30; 13:30-17:00</t>
  </si>
  <si>
    <t>Nguồn cơ sở xác nhận địa chỉ, hotline và giấy phép.</t>
  </si>
  <si>
    <t>https://www.google.com/maps/search/?api=1&amp;query_place_id=ChIJdYqVm1vFaDERxQVvct4EjJk</t>
  </si>
  <si>
    <t>Trạm y tế</t>
  </si>
  <si>
    <t>Trạm y tế Bình Định</t>
  </si>
  <si>
    <t>V4Q8+J4J, Bình Định, Gia Lai</t>
  </si>
  <si>
    <t>V4Q8+J4J</t>
  </si>
  <si>
    <t>Quy đổi tâm Plus Code V4Q8+J4J</t>
  </si>
  <si>
    <t>https://www.google.com/maps/search/?api=1&amp;query_place_id=ChIJeZmMuBg-bzERBlZFOhgH9aw</t>
  </si>
  <si>
    <t>Trạm Y Tế Nhơn Khánh</t>
  </si>
  <si>
    <t>V3R7+PP8, ĐT636B, Bình Định, Gia Lai</t>
  </si>
  <si>
    <t>V3R7+PP8</t>
  </si>
  <si>
    <t>Quy đổi tâm Plus Code V3R7+PP8</t>
  </si>
  <si>
    <t>Trạm của xã Nhơn Khánh cũ; toàn bộ Nhơn Khánh nhập vào phường Bình Định.</t>
  </si>
  <si>
    <t>https://www.google.com/maps/search/?api=1&amp;query_place_id=ChIJGQUDOoY9bzERBPfOZWh3Yko</t>
  </si>
  <si>
    <t>Trạm y tế xã Nhơn Phúc</t>
  </si>
  <si>
    <t>W239+24F, An Thái, Bình Định, Gia Lai</t>
  </si>
  <si>
    <t>W239+24F</t>
  </si>
  <si>
    <t>Quy đổi tâm Plus Code W239+24F</t>
  </si>
  <si>
    <t>Trạm của xã Nhơn Phúc cũ; toàn bộ Nhơn Phúc nhập vào phường Bình Định.</t>
  </si>
  <si>
    <t>https://www.google.com/maps/search/?api=1&amp;query_place_id=ChIJpV5JO0M9bzERBgNAVmviqYM</t>
  </si>
  <si>
    <t>Ngân hàng</t>
  </si>
  <si>
    <t>ACB - PGD An Nhơn</t>
  </si>
  <si>
    <t>303 Trần Phú, Phường Bình Định, Tỉnh Gia Lai</t>
  </si>
  <si>
    <t>0256 373 5678</t>
  </si>
  <si>
    <t>T2-T6: 07:30-11:30; 13:00-16:30; T7 sáng</t>
  </si>
  <si>
    <t>https://timbankvn.com/tim-chi-nhanh/acb-pgd-an-nhon/</t>
  </si>
  <si>
    <t>https://www.google.com/maps/search/?api=1&amp;query_place_id=ChIJh4yDumU_bzERLpSPtLTkJC0</t>
  </si>
  <si>
    <t>Agribank An Nhơn</t>
  </si>
  <si>
    <t>418 Trần Phú, phường Bình Định, tỉnh Gia Lai</t>
  </si>
  <si>
    <t>ngân hàng; giao dịch</t>
  </si>
  <si>
    <t>https://tinbds.com/gia-lai/phuong-binh-dinh</t>
  </si>
  <si>
    <t>https://www.google.com/maps/search/?api=1&amp;query=Agribank%20An%20Nh%C6%A1n%2C%20418%20Tr%E1%BA%A7n%20Ph%C3%BA%2C%20ph%C6%B0%E1%BB%9Dng%20B%C3%ACnh%20%C4%90%E1%BB%8Bnh%2C%20t%E1%BB%89nh%20Gia%20Lai</t>
  </si>
  <si>
    <t>ATM</t>
  </si>
  <si>
    <t>ATM ACB An Nhơn</t>
  </si>
  <si>
    <t>303 Trần Phú, phường Bình Định, tỉnh Gia Lai</t>
  </si>
  <si>
    <t>ATM; ACB</t>
  </si>
  <si>
    <t>https://www.google.com/maps/search/?api=1&amp;query=ATM%20ACB%20An%20Nh%C6%A1n%2C%20303%20Tr%E1%BA%A7n%20Ph%C3%BA%2C%20ph%C6%B0%E1%BB%9Dng%20B%C3%ACnh%20%C4%90%E1%BB%8Bnh%2C%20t%E1%BB%89nh%20Gia%20Lai</t>
  </si>
  <si>
    <t>ATM Agribank - 320 Trần Phú</t>
  </si>
  <si>
    <t>320 Trần Phú, phường Bình Định, tỉnh Gia Lai</t>
  </si>
  <si>
    <t>ATM; Agribank</t>
  </si>
  <si>
    <t>https://www.google.com/maps/search/?api=1&amp;query=ATM%20Agribank%20-%20320%20Tr%E1%BA%A7n%20Ph%C3%BA%2C%20320%20Tr%E1%BA%A7n%20Ph%C3%BA%2C%20ph%C6%B0%E1%BB%9Dng%20B%C3%ACnh%20%C4%90%E1%BB%8Bnh%2C%20t%E1%BB%89nh%20Gia%20Lai</t>
  </si>
  <si>
    <t>ATM Agribank - 418 Trần Phú</t>
  </si>
  <si>
    <t>https://www.google.com/maps/search/?api=1&amp;query=ATM%20Agribank%20-%20418%20Tr%E1%BA%A7n%20Ph%C3%BA%2C%20418%20Tr%E1%BA%A7n%20Ph%C3%BA%2C%20ph%C6%B0%E1%BB%9Dng%20B%C3%ACnh%20%C4%90%E1%BB%8Bnh%2C%20t%E1%BB%89nh%20Gia%20Lai</t>
  </si>
  <si>
    <t>ATM BIDV An Nhơn</t>
  </si>
  <si>
    <t>220 Trần Phú, phường Bình Định, tỉnh Gia Lai</t>
  </si>
  <si>
    <t>ATM; rút tiền</t>
  </si>
  <si>
    <t>https://www.google.com/maps/search/?api=1&amp;query=ATM%20BIDV%20An%20Nh%C6%A1n%2C%20220%20Tr%E1%BA%A7n%20Ph%C3%BA%2C%20ph%C6%B0%E1%BB%9Dng%20B%C3%ACnh%20%C4%90%E1%BB%8Bnh%2C%20t%E1%BB%89nh%20Gia%20Lai</t>
  </si>
  <si>
    <t>ATM HDBank An Nhơn</t>
  </si>
  <si>
    <t>146-148 Ngô Gia Tự, phường Bình Định, tỉnh Gia Lai</t>
  </si>
  <si>
    <t>ATM; HDBank</t>
  </si>
  <si>
    <t>https://www.google.com/maps/search/?api=1&amp;query=ATM%20HDBank%20An%20Nh%C6%A1n%2C%20146-148%20Ng%C3%B4%20Gia%20T%E1%BB%B1%2C%20ph%C6%B0%E1%BB%9Dng%20B%C3%ACnh%20%C4%90%E1%BB%8Bnh%2C%20t%E1%BB%89nh%20Gia%20Lai</t>
  </si>
  <si>
    <t>ATM KienlongBank An Nhơn</t>
  </si>
  <si>
    <t>254 Ngô Gia Tự, phường Bình Định, tỉnh Gia Lai</t>
  </si>
  <si>
    <t>ATM; KienlongBank</t>
  </si>
  <si>
    <t>https://www.google.com/maps/search/?api=1&amp;query=ATM%20KienlongBank%20An%20Nh%C6%A1n%2C%20254%20Ng%C3%B4%20Gia%20T%E1%BB%B1%2C%20ph%C6%B0%E1%BB%9Dng%20B%C3%ACnh%20%C4%90%E1%BB%8Bnh%2C%20t%E1%BB%89nh%20Gia%20Lai</t>
  </si>
  <si>
    <t>ATM MB Bank</t>
  </si>
  <si>
    <t>86-88 Ngô Gia Tự, phường Bình Định, tỉnh Gia Lai</t>
  </si>
  <si>
    <t>1900545426</t>
  </si>
  <si>
    <t>https://www.google.com/maps/search/?api=1&amp;query_place_id=ChIJz8tDnKc_bzERIOQhwWi6xfM</t>
  </si>
  <si>
    <t>ATM SCB An Nhơn</t>
  </si>
  <si>
    <t>ATM; SCB</t>
  </si>
  <si>
    <t>https://www.google.com/maps/search/?api=1&amp;query=ATM%20SCB%20An%20Nh%C6%A1n%2C%20105%20Tr%E1%BA%A7n%20Ph%C3%BA%2C%20ph%C6%B0%E1%BB%9Dng%20B%C3%ACnh%20%C4%90%E1%BB%8Bnh%2C%20t%E1%BB%89nh%20Gia%20Lai</t>
  </si>
  <si>
    <t>Cần xác minh trạng thái ATM hiện tại.</t>
  </si>
  <si>
    <t>ATM Vietcombank An Nhơn</t>
  </si>
  <si>
    <t>194-196 Ngô Gia Tự, phường Bình Định, tỉnh Gia Lai</t>
  </si>
  <si>
    <t>ATM; Vietcombank</t>
  </si>
  <si>
    <t>https://www.google.com/maps/search/?api=1&amp;query=ATM%20Vietcombank%20An%20Nh%C6%A1n%2C%20194-196%20Ng%C3%B4%20Gia%20T%E1%BB%B1%2C%20ph%C6%B0%E1%BB%9Dng%20B%C3%ACnh%20%C4%90%E1%BB%8Bnh%2C%20t%E1%BB%89nh%20Gia%20Lai</t>
  </si>
  <si>
    <t>ATM VPBank An Nhơn</t>
  </si>
  <si>
    <t>46 Ngô Gia Tự, phường Bình Định, tỉnh Gia Lai</t>
  </si>
  <si>
    <t>ATM; VPBank</t>
  </si>
  <si>
    <t>https://www.google.com/maps/search/?api=1&amp;query=ATM%20VPBank%20An%20Nh%C6%A1n%2C%2046%20Ng%C3%B4%20Gia%20T%E1%BB%B1%2C%20ph%C6%B0%E1%BB%9Dng%20B%C3%ACnh%20%C4%90%E1%BB%8Bnh%2C%20t%E1%BB%89nh%20Gia%20Lai</t>
  </si>
  <si>
    <t>Nên kiểm tra trạng thái ATM hiện tại.</t>
  </si>
  <si>
    <t>BIDV - PGD An Nhơn</t>
  </si>
  <si>
    <t>168 Trần Phú, Phường Bình Định, Tỉnh Gia Lai</t>
  </si>
  <si>
    <t>0256 373 6736</t>
  </si>
  <si>
    <t>T2-T6: 08:00-11:30; 13:00-16:30</t>
  </si>
  <si>
    <t>https://bidv.nganhangs.com/chi-nhanh/binh-dinh/an-nhon/duong-tran-phu/pgd-an-nhon_c43</t>
  </si>
  <si>
    <t>https://sotayvang.com/pgd-an-nhon-cn-phu-tai-ngan-hang-tmcp-dau-tu-phat-trien-viet-nam-bidv-tt-binh-dinh/</t>
  </si>
  <si>
    <t>https://www.google.com/maps/search/?api=1&amp;query_place_id=ChIJ1f2vzR4-bzERohVm5PRMTec</t>
  </si>
  <si>
    <t>HDBank - PGD An Nhơn</t>
  </si>
  <si>
    <t>146-148 Ngô Gia Tự, Phường Bình Định, Tỉnh Gia Lai</t>
  </si>
  <si>
    <t>0256 390 8588</t>
  </si>
  <si>
    <t>https://gialai.hdbank.com.vn/</t>
  </si>
  <si>
    <t>Điện thoại lấy từ website HDBank; Google Maps thường hiển thị tổng đài 19006060.</t>
  </si>
  <si>
    <t>https://hdbank.com.vn/vi/contact</t>
  </si>
  <si>
    <t>https://www.google.com/maps/search/?api=1&amp;query_place_id=ChIJPRHLyBg-bzER0QMGUrdHLvg</t>
  </si>
  <si>
    <t>KienlongBank An Nhơn</t>
  </si>
  <si>
    <t>https://www.google.com/maps/search/?api=1&amp;query=KienlongBank%20An%20Nh%C6%A1n%2C%20254%20Ng%C3%B4%20Gia%20T%E1%BB%B1%2C%20ph%C6%B0%E1%BB%9Dng%20B%C3%ACnh%20%C4%90%E1%BB%8Bnh%2C%20t%E1%BB%89nh%20Gia%20Lai</t>
  </si>
  <si>
    <t>LPBank An Nhơn</t>
  </si>
  <si>
    <t>162 Trần Phú, phường Bình Định, tỉnh Gia Lai</t>
  </si>
  <si>
    <t>https://www.google.com/maps/search/?api=1&amp;query=LPBank%20An%20Nh%C6%A1n%2C%20162%20Tr%E1%BA%A7n%20Ph%C3%BA%2C%20ph%C6%B0%E1%BB%9Dng%20B%C3%ACnh%20%C4%90%E1%BB%8Bnh%2C%20t%E1%BB%89nh%20Gia%20Lai</t>
  </si>
  <si>
    <t>Ngân hàng / bưu điện</t>
  </si>
  <si>
    <t>LPBank PGD Bưu điện An Nhơn</t>
  </si>
  <si>
    <t>397 Trần Phú, phường Bình Định, tỉnh Gia Lai</t>
  </si>
  <si>
    <t>ngân hàng; bưu điện</t>
  </si>
  <si>
    <t>https://www.google.com/maps/search/?api=1&amp;query=LPBank%20PGD%20B%C6%B0u%20%C4%91i%E1%BB%87n%20An%20Nh%C6%A1n%2C%20397%20Tr%E1%BA%A7n%20Ph%C3%BA%2C%20ph%C6%B0%E1%BB%9Dng%20B%C3%ACnh%20%C4%90%E1%BB%8Bnh%2C%20t%E1%BB%89nh%20Gia%20Lai</t>
  </si>
  <si>
    <t>MBBank PGD An Nhơn</t>
  </si>
  <si>
    <t>86-88 Ngô Gia Tự, Phường Bình Định, Tỉnh Gia Lai</t>
  </si>
  <si>
    <t>0256 352 0680</t>
  </si>
  <si>
    <t>T2-T6: 07:30-11:30; 13:00-17:00; T7 sáng</t>
  </si>
  <si>
    <t>https://timbankvn.com/tim-chi-nhanh/mbbank-pgd-an-nhon/</t>
  </si>
  <si>
    <t>https://www.google.com/maps/search/?api=1&amp;query_place_id=ChIJLbLP-nU_bzERLJs2Tn9W8Ok</t>
  </si>
  <si>
    <t>Nam A Bank An Nhơn</t>
  </si>
  <si>
    <t>138 Trần Phú, phường Bình Định, tỉnh Gia Lai</t>
  </si>
  <si>
    <t>https://www.google.com/maps/search/?api=1&amp;query=Nam%20A%20Bank%20An%20Nh%C6%A1n%2C%20138%20Tr%E1%BA%A7n%20Ph%C3%BA%2C%20ph%C6%B0%E1%BB%9Dng%20B%C3%ACnh%20%C4%90%E1%BB%8Bnh%2C%20t%E1%BB%89nh%20Gia%20Lai</t>
  </si>
  <si>
    <t>Ngân hàng chính sách</t>
  </si>
  <si>
    <t>Ngân Hàng Chính Sách Xã Hội - An Nhơn</t>
  </si>
  <si>
    <t>05 Hàm Nghi, Bình Định, Gia Lai</t>
  </si>
  <si>
    <t>0256 221 3561</t>
  </si>
  <si>
    <t>https://sotayvang.com/ngan-hang-chinh-sach-xa-hoi-thi-xa-an-nhon-vbsp-tt-binh-dinh/</t>
  </si>
  <si>
    <t>https://www.google.com/maps/search/?api=1&amp;query_place_id=ChIJlXuEfPUVbzEREu9hZPILlrI</t>
  </si>
  <si>
    <t>SCB An Nhơn</t>
  </si>
  <si>
    <t>https://www.google.com/maps/search/?api=1&amp;query=SCB%20An%20Nh%C6%A1n%2C%20105%20Tr%E1%BA%A7n%20Ph%C3%BA%2C%20ph%C6%B0%E1%BB%9Dng%20B%C3%ACnh%20%C4%90%E1%BB%8Bnh%2C%20t%E1%BB%89nh%20Gia%20Lai</t>
  </si>
  <si>
    <t>Cần xác minh trạng thái giao dịch hiện tại của điểm SCB.</t>
  </si>
  <si>
    <t>VietABank An Nhơn</t>
  </si>
  <si>
    <t>187 Trần Phú, phường Bình Định, tỉnh Gia Lai</t>
  </si>
  <si>
    <t>02563635515</t>
  </si>
  <si>
    <t>https://www.google.com/maps/search/?api=1&amp;query=VietABank%20An%20Nh%C6%A1n%2C%20187%20Tr%E1%BA%A7n%20Ph%C3%BA%2C%20ph%C6%B0%E1%BB%9Dng%20B%C3%ACnh%20%C4%90%E1%BB%8Bnh%2C%20t%E1%BB%89nh%20Gia%20Lai</t>
  </si>
  <si>
    <t>Vietcombank Quy Nhơn - PGD An Nhơn</t>
  </si>
  <si>
    <t>194-196 Ngô Gia Tự, Phường Bình Định, Tỉnh Gia Lai</t>
  </si>
  <si>
    <t>0256 363 5944</t>
  </si>
  <si>
    <t>https://www.vietcombank.com.vn/</t>
  </si>
  <si>
    <t>T2-T6: 08:00-11:30; 13:30-16:30</t>
  </si>
  <si>
    <t>Google Maps từng hiển thị số 0256 363 5946; nguồn điểm giao dịch hiện hành/đối chiếu ghi 0256 363 5944.</t>
  </si>
  <si>
    <t>https://timbankvn.com/tim-chi-nhanh/vietcombank-pgd-an-nhon/</t>
  </si>
  <si>
    <t>https://sotayvang.com/vietcombank-quy-nhon-pgd-an-nhon-tt-binh-dinh/</t>
  </si>
  <si>
    <t>https://www.google.com/maps/search/?api=1&amp;query_place_id=ChIJy5NVKBk-bzERIvLzR-FV8nc</t>
  </si>
  <si>
    <t>VPBank An Nhơn</t>
  </si>
  <si>
    <t>https://www.google.com/maps/search/?api=1&amp;query=VPBank%20An%20Nh%C6%A1n%2C%2046%20Ng%C3%B4%20Gia%20T%E1%BB%B1%2C%20ph%C6%B0%E1%BB%9Dng%20B%C3%ACnh%20%C4%90%E1%BB%8Bnh%2C%20t%E1%BB%89nh%20Gia%20Lai</t>
  </si>
  <si>
    <t>Nên kiểm tra trạng thái hoạt động hiện tại trước khi giao dịch.</t>
  </si>
  <si>
    <t>Siêu thị mini</t>
  </si>
  <si>
    <t>Bách Hóa Xanh 111-113 Trần Phú</t>
  </si>
  <si>
    <t>111-113 Trần Phú, phường Bình Định, tỉnh Gia Lai</t>
  </si>
  <si>
    <t>0987120206</t>
  </si>
  <si>
    <t>siêu thị; thực phẩm</t>
  </si>
  <si>
    <t>https://www.google.com/maps/search/?api=1&amp;query=B%C3%A1ch%20H%C3%B3a%20Xanh%20111-113%20Tr%E1%BA%A7n%20Ph%C3%BA%2C%20111-113%20Tr%E1%BA%A7n%20Ph%C3%BA%2C%20ph%C6%B0%E1%BB%9Dng%20B%C3%ACnh%20%C4%90%E1%BB%8Bnh%2C%20t%E1%BB%89nh%20Gia%20Lai</t>
  </si>
  <si>
    <t>Chợ</t>
  </si>
  <si>
    <t>Chợ An Nhơn</t>
  </si>
  <si>
    <t>V4R6+99, Bình Định, Gia Lai</t>
  </si>
  <si>
    <t>V4R6+99</t>
  </si>
  <si>
    <t>Quy đổi tâm Plus Code V4R6+99</t>
  </si>
  <si>
    <t>0935 473 397</t>
  </si>
  <si>
    <t>https://www.google.com/maps/search/?api=1&amp;query_place_id=ChIJXSdHK14_bzERR32BjnaFQsk</t>
  </si>
  <si>
    <t>Chợ An Thái</t>
  </si>
  <si>
    <t>W249+646, An Thái, phường Bình Định, tỉnh Gia Lai</t>
  </si>
  <si>
    <t>W249+646</t>
  </si>
  <si>
    <t>Giải mã Plus Code công khai W249+646</t>
  </si>
  <si>
    <t>Khoảng 05:00-13:00 theo dữ liệu bản đồ công khai</t>
  </si>
  <si>
    <t>chợ; thực phẩm; An Thái</t>
  </si>
  <si>
    <t>https://www.google.com/maps/search/?api=1&amp;query_place_id=ChIJEVTPuUM9bzERd5KhbdP2qhE</t>
  </si>
  <si>
    <t>Chợ bò Nhơn Khánh</t>
  </si>
  <si>
    <t>V3V6+2M7, ĐT636B, Bình Định, Gia Lai</t>
  </si>
  <si>
    <t>V3V6+2M7</t>
  </si>
  <si>
    <t>Quy đổi tâm Plus Code V3V6+2M7</t>
  </si>
  <si>
    <t>Tên và vị trí xác định Nhơn Khánh cũ; toàn bộ Nhơn Khánh nhập vào phường Bình Định.</t>
  </si>
  <si>
    <t>https://www.google.com/maps/search/?api=1&amp;query_place_id=ChIJxUuoyo49bzERnrv3IREG8vE</t>
  </si>
  <si>
    <t>Siêu thị</t>
  </si>
  <si>
    <t>Co.opmart An Nhơn</t>
  </si>
  <si>
    <t>V4R8+36P, QL1A, Bình Định, Gia Lai</t>
  </si>
  <si>
    <t>V4R8+36P</t>
  </si>
  <si>
    <t>Quy đổi tâm Plus Code V4R8+36P</t>
  </si>
  <si>
    <t>0256 363 5677</t>
  </si>
  <si>
    <t>07:00-21:30</t>
  </si>
  <si>
    <t>https://www.google.com/maps/search/?api=1&amp;query_place_id=ChIJW02Dw_kUbzERuHub-uQX7hQ</t>
  </si>
  <si>
    <t>Mini Go! An Nhơn</t>
  </si>
  <si>
    <t>V4PF+C42, QL1A, Bình Định, Gia Lai</t>
  </si>
  <si>
    <t>V4PF+C42</t>
  </si>
  <si>
    <t>Quy đổi tâm Plus Code V4PF+C42</t>
  </si>
  <si>
    <t>0256 730 0368</t>
  </si>
  <si>
    <t>08:00-22:00</t>
  </si>
  <si>
    <t>https://www.google.com/maps/search/?api=1&amp;query_place_id=ChIJ4wdUcQA_bzER_OIb-gZEhps</t>
  </si>
  <si>
    <t>Nhà sách / siêu thị</t>
  </si>
  <si>
    <t>Siêu thị Nhà sách Bình Định</t>
  </si>
  <si>
    <t>V4Q7+R4C, Trần Phú, phường Bình Định, tỉnh Gia Lai</t>
  </si>
  <si>
    <t>V4Q7+R4C</t>
  </si>
  <si>
    <t>Giải mã Plus Code công khai V4Q7+R4C</t>
  </si>
  <si>
    <t>nhà sách; mua sắm</t>
  </si>
  <si>
    <t>https://www.google.com/maps/search/?api=1&amp;query=Si%C3%AAu%20th%E1%BB%8B%20Nh%C3%A0%20s%C3%A1ch%20B%C3%ACnh%20%C4%90%E1%BB%8Bnh%2C%20V4Q7%2BR4C%2C%20Tr%E1%BA%A7n%20Ph%C3%BA%2C%20ph%C6%B0%E1%BB%9Dng%20B%C3%ACnh%20%C4%90%E1%BB%8Bnh%2C%20t%E1%BB%89nh%20Gia%20Lai</t>
  </si>
  <si>
    <t>Cửa hàng tiện lợi</t>
  </si>
  <si>
    <t>WinMart+ 206 Trần Phú</t>
  </si>
  <si>
    <t>206 Trần Phú, phường Bình Định, tỉnh Gia Lai</t>
  </si>
  <si>
    <t>siêu thị mini; tiện lợi</t>
  </si>
  <si>
    <t>https://www.google.com/maps/search/?api=1&amp;query=WinMart%2B%20206%20Tr%E1%BA%A7n%20Ph%C3%BA%2C%20206%20Tr%E1%BA%A7n%20Ph%C3%BA%2C%20ph%C6%B0%E1%BB%9Dng%20B%C3%ACnh%20%C4%90%E1%BB%8Bnh%2C%20t%E1%BB%89nh%20Gia%20Lai</t>
  </si>
  <si>
    <t>Bưu chính</t>
  </si>
  <si>
    <t>Bưu điện thị xã An Nhơn</t>
  </si>
  <si>
    <t>397 Trần Phú, Bình Định, Gia Lai</t>
  </si>
  <si>
    <t>0256 383 5307</t>
  </si>
  <si>
    <t>T2-T6: 07:00-17:00</t>
  </si>
  <si>
    <t>Tên/địa chỉ hiện hành cần đối chiếu theo tổ chức bưu chính sau sắp xếp; nguồn đăng ký hiện ghi Chi nhánh Bưu điện khu vực An Nhơn tại 397 Trần Phú.</t>
  </si>
  <si>
    <t>https://www.google.com/maps/search/?api=1&amp;query_place_id=ChIJ19Fwq4oVbzEROT1IB1sbhn4</t>
  </si>
  <si>
    <t>Bưu Điện Văn Hóa Xã Nhơn Phúc</t>
  </si>
  <si>
    <t>Thôn An Thái, Bình Định, Gia Lai</t>
  </si>
  <si>
    <t>0256 361 0505</t>
  </si>
  <si>
    <t>07:00-19:00</t>
  </si>
  <si>
    <t>Cơ sở của xã Nhơn Phúc cũ; toàn bộ Nhơn Phúc nhập vào phường Bình Định.</t>
  </si>
  <si>
    <t>https://www.google.com/maps/search/?api=1&amp;query_place_id=ChIJ0yputWg9bzERsJqkSfWiMzY</t>
  </si>
  <si>
    <t>Xăng dầu</t>
  </si>
  <si>
    <t>Cửa hàng xăng dầu Minh Hiếu</t>
  </si>
  <si>
    <t>V4PC+QG6, QL1, Bình Định, Gia Lai</t>
  </si>
  <si>
    <t>V4PC+QG6</t>
  </si>
  <si>
    <t>Quy đổi tâm Plus Code V4PC+QG6</t>
  </si>
  <si>
    <t>0256 378 9599</t>
  </si>
  <si>
    <t>https://www.google.com/maps/search/?api=1&amp;query_place_id=ChIJx6A1DQY_bzERyFgnrPJAz9M</t>
  </si>
  <si>
    <t>Điện lực</t>
  </si>
  <si>
    <t>Điện Lực An Nhơn</t>
  </si>
  <si>
    <t>V4Q9+PHX, QL1A, Bình Định, Gia Lai</t>
  </si>
  <si>
    <t>V4Q9+PHX</t>
  </si>
  <si>
    <t>Quy đổi tâm Plus Code V4Q9+PHX</t>
  </si>
  <si>
    <t>0256 221 2729</t>
  </si>
  <si>
    <t>https://www.google.com/maps/search/?api=1&amp;query_place_id=ChIJXb_cOyI-bzEROee4ql0FaqE</t>
  </si>
  <si>
    <t>Viễn thông</t>
  </si>
  <si>
    <t>Viettel Telecom An Nhơn</t>
  </si>
  <si>
    <t>271 Trần Phú, phường Bình Định, tỉnh Gia Lai</t>
  </si>
  <si>
    <t>02566265098</t>
  </si>
  <si>
    <t>viễn thông; internet; di động</t>
  </si>
  <si>
    <t>https://www.google.com/maps/search/?api=1&amp;query=Viettel%20Telecom%20An%20Nh%C6%A1n%2C%20271%20Tr%E1%BA%A7n%20Ph%C3%BA%2C%20ph%C6%B0%E1%BB%9Dng%20B%C3%ACnh%20%C4%90%E1%BB%8Bnh%2C%20t%E1%BB%89nh%20Gia%20Lai</t>
  </si>
  <si>
    <t>VNPT An Nhơn</t>
  </si>
  <si>
    <t>229 Trần Phú, phường Bình Định, tỉnh Gia Lai</t>
  </si>
  <si>
    <t>0914354052</t>
  </si>
  <si>
    <t>viễn thông; internet</t>
  </si>
  <si>
    <t>https://www.google.com/maps/search/?api=1&amp;query=VNPT%20An%20Nh%C6%A1n%2C%20229%20Tr%E1%BA%A7n%20Ph%C3%BA%2C%20ph%C6%B0%E1%BB%9Dng%20B%C3%ACnh%20%C4%90%E1%BB%8Bnh%2C%20t%E1%BB%89nh%20Gia%20Lai</t>
  </si>
  <si>
    <t>Dịch vụ đô thị</t>
  </si>
  <si>
    <t>Ban Quản lý các dịch vụ đô thị An Nhơn</t>
  </si>
  <si>
    <t>399 Trần Phú, Phường Bình Định, Tỉnh Gia Lai</t>
  </si>
  <si>
    <t>https://binhdinh.gialai.gov.vn/upload/105724/20250923/Copy_of_PHU_LUC_GIAO_39_TRU_SO_LAM_VIEC__CO_SO_HOAT_DONG_SU_NGHIEP_THUOC_UBND_PHUONG_BINH_DINH_QUAN_LY__SU_DUNG_f0503.pdf</t>
  </si>
  <si>
    <t>https://binhdinh.gialai.gov.vn/</t>
  </si>
  <si>
    <t>https://www.google.com/maps/search/?api=1&amp;query=Ban%20Qu%E1%BA%A3n%20l%C3%BD%20c%C3%A1c%20d%E1%BB%8Bch%20v%E1%BB%A5%20%C4%91%C3%B4%20th%E1%BB%8B%20An%20Nh%C6%A1n%2C%20399%20Tr%E1%BA%A7n%20Ph%C3%BA%2C%20Ph%C6%B0%E1%BB%9Dng%20B%C3%ACnh%20%C4%90%E1%BB%8Bnh%2C%20T%E1%BB%89nh%20Gia%20Lai</t>
  </si>
  <si>
    <t>Quản lý đô thị</t>
  </si>
  <si>
    <t>Ban Quản lý phường Bình Định</t>
  </si>
  <si>
    <t>77 Lê Hồng Phong, Phường Bình Định, Tỉnh Gia Lai</t>
  </si>
  <si>
    <t>https://www.google.com/maps/search/?api=1&amp;query=Ban%20Qu%E1%BA%A3n%20l%C3%BD%20ph%C6%B0%E1%BB%9Dng%20B%C3%ACnh%20%C4%90%E1%BB%8Bnh%2C%2077%20L%C3%AA%20H%E1%BB%93ng%20Phong%2C%20Ph%C6%B0%E1%BB%9Dng%20B%C3%ACnh%20%C4%90%E1%BB%8Bnh%2C%20T%E1%BB%89nh%20Gia%20Lai</t>
  </si>
  <si>
    <t>PCCC</t>
  </si>
  <si>
    <t>Cảnh sát PCCC (điểm trên địa bàn)</t>
  </si>
  <si>
    <t>V4P5+MWQ, Bình Định, Gia Lai</t>
  </si>
  <si>
    <t>V4P5+MWQ</t>
  </si>
  <si>
    <t>Quy đổi tâm Plus Code V4P5+MWQ</t>
  </si>
  <si>
    <t>https://www.google.com/maps/search/?api=1&amp;query_place_id=ChIJB-TMFwA_bzERmr4BlrxA04s</t>
  </si>
  <si>
    <t>Công an - cơ sở cũ</t>
  </si>
  <si>
    <t>Cơ sở Công an Nhơn Phúc cũ</t>
  </si>
  <si>
    <t>W249+CX5, khu vực Nhơn Phúc cũ, phường Bình Định, tỉnh Gia Lai</t>
  </si>
  <si>
    <t>W249+CX5</t>
  </si>
  <si>
    <t>Giải mã Plus Code công khai W249+CX5</t>
  </si>
  <si>
    <t>an ninh; cơ sở công</t>
  </si>
  <si>
    <t>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</t>
  </si>
  <si>
    <t>Cần xác minh công năng hiện tại; đầu mối chính là Công an phường Bình Định.</t>
  </si>
  <si>
    <t>Thuế</t>
  </si>
  <si>
    <t>Cơ sở/đơn vị thuế tại 544 Trần Phú (Đội thuế thị xã An Nhơn cũ)</t>
  </si>
  <si>
    <t>544 Trần Phú, phường Bình Định, tỉnh Gia Lai</t>
  </si>
  <si>
    <t>02563635134</t>
  </si>
  <si>
    <t>thuế; hành chính</t>
  </si>
  <si>
    <t>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</t>
  </si>
  <si>
    <t>Cần xác minh tên cơ quan thuế hiện hành sau tổ chức lại năm 2025-2026.</t>
  </si>
  <si>
    <t>Công an</t>
  </si>
  <si>
    <t>Công An Phường Bình Định</t>
  </si>
  <si>
    <t>31 Quang Trung, Phường Bình Định, Tỉnh Gia Lai</t>
  </si>
  <si>
    <t>Địa chỉ hiện hành đối chiếu dữ liệu MST và Google Maps.</t>
  </si>
  <si>
    <t>https://thuvienphapluat.vn/ma-so-thue/cong-an-phuong-binh-dinh-mst-4101652619.html</t>
  </si>
  <si>
    <t>https://www.google.com/maps/search/?api=1&amp;query_place_id=ChIJ4QDl2B4-bzEREcKTBqnf83g</t>
  </si>
  <si>
    <t>Đảng</t>
  </si>
  <si>
    <t>Đảng ủy phường Bình Định</t>
  </si>
  <si>
    <t>80 Lê Hồng Phong, Phường Bình Định, Tỉnh Gia Lai</t>
  </si>
  <si>
    <t>https://www.google.com/maps/search/?api=1&amp;query=%C4%90%E1%BA%A3ng%20%E1%BB%A7y%20ph%C6%B0%E1%BB%9Dng%20B%C3%ACnh%20%C4%90%E1%BB%8Bnh%2C%2080%20L%C3%AA%20H%E1%BB%93ng%20Phong%2C%20Ph%C6%B0%E1%BB%9Dng%20B%C3%ACnh%20%C4%90%E1%BB%8Bnh%2C%20T%E1%BB%89nh%20Gia%20Lai</t>
  </si>
  <si>
    <t>Kho bạc</t>
  </si>
  <si>
    <t>Kho bạc Nhà nước An Nhơn</t>
  </si>
  <si>
    <t>542 Trần Phú, phường Bình Định, tỉnh Gia Lai</t>
  </si>
  <si>
    <t>02563835311</t>
  </si>
  <si>
    <t>kho bạc; hành chính</t>
  </si>
  <si>
    <t>https://www.google.com/maps/search/?api=1&amp;query=Kho%20b%E1%BA%A1c%20Nh%C3%A0%20n%C6%B0%E1%BB%9Bc%20An%20Nh%C6%A1n%2C%20542%20Tr%E1%BA%A7n%20Ph%C3%BA%2C%20ph%C6%B0%E1%BB%9Dng%20B%C3%ACnh%20%C4%90%E1%BB%8Bnh%2C%20t%E1%BB%89nh%20Gia%20Lai</t>
  </si>
  <si>
    <t>Tên đơn vị có thể thay đổi theo cơ cấu tổ chức sau sắp xếp; cần đối chiếu trước khi giao dịch.</t>
  </si>
  <si>
    <t>Nhà văn hóa / điểm công vụ</t>
  </si>
  <si>
    <t>Nhà Văn hóa xã Nhơn Phúc cũ</t>
  </si>
  <si>
    <t>Khu vực Nhơn Phúc cũ, phường Bình Định, tỉnh Gia Lai</t>
  </si>
  <si>
    <t>điểm công vụ; sinh hoạt cộng đồng</t>
  </si>
  <si>
    <t>https://www.google.com/maps/search/?api=1&amp;query=Nh%C3%A0%20V%C4%83n%20h%C3%B3a%20x%C3%A3%20Nh%C6%A1n%20Ph%C3%BAc%20c%C5%A9%2C%20Khu%20v%E1%BB%B1c%20Nh%C6%A1n%20Ph%C3%BAc%20c%C5%A9%2C%20ph%C6%B0%E1%BB%9Dng%20B%C3%ACnh%20%C4%90%E1%BB%8Bnh%2C%20t%E1%BB%89nh%20Gia%20Lai</t>
  </si>
  <si>
    <t>Chính trị</t>
  </si>
  <si>
    <t>Trung tâm Chính trị phường Bình Định</t>
  </si>
  <si>
    <t>59 Lê Hồng Phong, Phường Bình Định, Tỉnh Gia Lai</t>
  </si>
  <si>
    <t>https://www.google.com/maps/search/?api=1&amp;query=Trung%20t%C3%A2m%20Ch%C3%ADnh%20tr%E1%BB%8B%20ph%C6%B0%E1%BB%9Dng%20B%C3%ACnh%20%C4%90%E1%BB%8Bnh%2C%2059%20L%C3%AA%20H%E1%BB%93ng%20Phong%2C%20Ph%C6%B0%E1%BB%9Dng%20B%C3%ACnh%20%C4%90%E1%BB%8Bnh%2C%20T%E1%BB%89nh%20Gia%20Lai</t>
  </si>
  <si>
    <t>Dịch vụ công</t>
  </si>
  <si>
    <t>Trung tâm phục vụ hành chính công phường Bình Định</t>
  </si>
  <si>
    <t>79 Lê Hồng Phong, Phường Bình Định, Tỉnh Gia Lai</t>
  </si>
  <si>
    <t>Trụ sở 79 Lê Hồng Phong được phụ lục tài sản công xác định là trung tâm hành chính công.</t>
  </si>
  <si>
    <t>https://www.google.com/maps/search/?api=1&amp;query=Trung%20t%C3%A2m%20ph%E1%BB%A5c%20v%E1%BB%A5%20h%C3%A0nh%20ch%C3%ADnh%20c%C3%B4ng%20ph%C6%B0%E1%BB%9Dng%20B%C3%ACnh%20%C4%90%E1%BB%8Bnh%2C%2079%20L%C3%AA%20H%E1%BB%93ng%20Phong%2C%20Ph%C6%B0%E1%BB%9Dng%20B%C3%ACnh%20%C4%90%E1%BB%8Bnh%2C%20T%E1%BB%89nh%20Gia%20Lai</t>
  </si>
  <si>
    <t>Chính quyền địa phương</t>
  </si>
  <si>
    <t>UBND Phường Bình Định</t>
  </si>
  <si>
    <t>78 Lê Hồng Phong, Phường Bình Định, Tỉnh Gia Lai</t>
  </si>
  <si>
    <t>V4P5+QJ6</t>
  </si>
  <si>
    <t>Quy đổi tâm Plus Code V4P5+QJ6</t>
  </si>
  <si>
    <t>T2-T6: 07:30-17:00 (theo Maps)</t>
  </si>
  <si>
    <t>Địa chỉ xác nhận trên Cổng thông tin phường.</t>
  </si>
  <si>
    <t>https://www.google.com/maps/search/?api=1&amp;query_place_id=ChIJSzWgFQA_bzER0PRSDz7hPqE</t>
  </si>
  <si>
    <t>Mặt trận</t>
  </si>
  <si>
    <t>Ủy ban MTTQ Việt Nam phường Bình Định</t>
  </si>
  <si>
    <t>02 Phạm Hồng Thái, Phường Bình Định, Tỉnh Gia Lai</t>
  </si>
  <si>
    <t>https://www.google.com/maps/search/?api=1&amp;query=%E1%BB%A6y%20ban%20MTTQ%20Vi%E1%BB%87t%20Nam%20ph%C6%B0%E1%BB%9Dng%20B%C3%ACnh%20%C4%90%E1%BB%8Bnh%2C%2002%20Ph%E1%BA%A1m%20H%E1%BB%93ng%20Th%C3%A1i%2C%20Ph%C6%B0%E1%BB%9Dng%20B%C3%ACnh%20%C4%90%E1%BB%8Bnh%2C%20T%E1%BB%89nh%20Gia%20Lai</t>
  </si>
  <si>
    <t>Mầm non - điểm trường</t>
  </si>
  <si>
    <t>Mầm non Nhơn Khánh - điểm Quan Quang</t>
  </si>
  <si>
    <t>Khu vực Quan Quang, phường Bình Định, tỉnh Gia Lai</t>
  </si>
  <si>
    <t>mầm non; điểm trường</t>
  </si>
  <si>
    <t>https://www.google.com/maps/search/?api=1&amp;query=M%E1%BA%A7m%20non%20Nh%C6%A1n%20Kh%C3%A1nh%20-%20%C4%91i%E1%BB%83m%20Quan%20Quang%2C%20Khu%20v%E1%BB%B1c%20Quan%20Quang%2C%20ph%C6%B0%E1%BB%9Dng%20B%C3%ACnh%20%C4%90%E1%BB%8Bnh%2C%20t%E1%BB%89nh%20Gia%20Lai</t>
  </si>
  <si>
    <t>Mầm non tư thục</t>
  </si>
  <si>
    <t>Mầm non Tương Lai</t>
  </si>
  <si>
    <t>78 AH1, phường Bình Định, tỉnh Gia Lai</t>
  </si>
  <si>
    <t>mầm non; tư thục</t>
  </si>
  <si>
    <t>https://www.google.com/maps/search/?api=1&amp;query=M%E1%BA%A7m%20non%20T%C6%B0%C6%A1ng%20Lai%2C%2078%20AH1%2C%20ph%C6%B0%E1%BB%9Dng%20B%C3%ACnh%20%C4%90%E1%BB%8Bnh%2C%20t%E1%BB%89nh%20Gia%20Lai</t>
  </si>
  <si>
    <t>Tiểu học - điểm trường</t>
  </si>
  <si>
    <t>Tiểu học Nhơn Phúc - phân hiệu Phụ Ngọc</t>
  </si>
  <si>
    <t>V2WQ+CR7, Phụ Ngọc, phường Bình Định, tỉnh Gia Lai</t>
  </si>
  <si>
    <t>V2WQ+CR7</t>
  </si>
  <si>
    <t>Giải mã Plus Code công khai V2WQ+CR7</t>
  </si>
  <si>
    <t>tiểu học; điểm trường</t>
  </si>
  <si>
    <t>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</t>
  </si>
  <si>
    <t>Tiểu học Nhơn Phúc - phân hiệu Thắng Công</t>
  </si>
  <si>
    <t>W246+FMG, Thắng Công, phường Bình Định, tỉnh Gia Lai</t>
  </si>
  <si>
    <t>W246+FMG</t>
  </si>
  <si>
    <t>Giải mã Plus Code công khai W246+FMG</t>
  </si>
  <si>
    <t>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</t>
  </si>
  <si>
    <t>GDNN-GDTX</t>
  </si>
  <si>
    <t>Trung tâm GDNN-GDTX An Nhơn</t>
  </si>
  <si>
    <t>31 Trần Thị Kỷ, phường Bình Định, tỉnh Gia Lai</t>
  </si>
  <si>
    <t>giáo dục thường xuyên; đào tạo nghề</t>
  </si>
  <si>
    <t>https://www.google.com/maps/search/?api=1&amp;query=Trung%20t%C3%A2m%20GDNN-GDTX%20An%20Nh%C6%A1n%2C%2031%20Tr%E1%BA%A7n%20Th%E1%BB%8B%20K%E1%BB%B7%2C%20ph%C6%B0%E1%BB%9Dng%20B%C3%ACnh%20%C4%90%E1%BB%8Bnh%2C%20t%E1%BB%89nh%20Gia%20Lai</t>
  </si>
  <si>
    <t>Giáo dục kỹ năng</t>
  </si>
  <si>
    <t>Trung tâm Phát triển giáo dục Ánh Dương</t>
  </si>
  <si>
    <t>02 Chế Lan Viên, phường Bình Định, tỉnh Gia Lai</t>
  </si>
  <si>
    <t>0938788489</t>
  </si>
  <si>
    <t>giáo dục; kỹ năng</t>
  </si>
  <si>
    <t>https://www.google.com/maps/search/?api=1&amp;query=Trung%20t%C3%A2m%20Ph%C3%A1t%20tri%E1%BB%83n%20gi%C3%A1o%20d%E1%BB%A5c%20%C3%81nh%20D%C6%B0%C6%A1ng%2C%2002%20Ch%E1%BA%BF%20Lan%20Vi%C3%AAn%2C%20ph%C6%B0%E1%BB%9Dng%20B%C3%ACnh%20%C4%90%E1%BB%8Bnh%2C%20t%E1%BB%89nh%20Gia%20Lai</t>
  </si>
  <si>
    <t>Mầm non công lập</t>
  </si>
  <si>
    <t>Trường Mầm non Bình Định</t>
  </si>
  <si>
    <t>34 đường 30 Tháng 3, phường Bình Định, tỉnh Gia Lai</t>
  </si>
  <si>
    <t>mầm non; công lập</t>
  </si>
  <si>
    <t>Một số dữ liệu bản đồ/đăng ký cũ có thể hiển thị tên Mầm non An Nhơn.</t>
  </si>
  <si>
    <t>https://www.google.com/maps/search/?api=1&amp;query=Tr%C6%B0%E1%BB%9Dng%20M%E1%BA%A7m%20non%20B%C3%ACnh%20%C4%90%E1%BB%8Bnh%2C%2034%20%C4%91%C6%B0%E1%BB%9Dng%2030%20Th%C3%A1ng%203%2C%20ph%C6%B0%E1%BB%9Dng%20B%C3%ACnh%20%C4%90%E1%BB%8Bnh%2C%20t%E1%BB%89nh%20Gia%20Lai</t>
  </si>
  <si>
    <t>https://binhdinh.gialai.gov.vn/tin-tuc/van-hoa-xa-hoi/phuong-binh-dinh-tong-ket-nam-hoc-2025-2026-trien-khai-nhiem-vu-nam-hoc-2026-2027.html</t>
  </si>
  <si>
    <t>Trường Mầm non Nhơn Khánh</t>
  </si>
  <si>
    <t>Tổ dân phố An Hòa / khu vực Khánh Hòa, phường Bình Định, tỉnh Gia Lai</t>
  </si>
  <si>
    <t>0365094579</t>
  </si>
  <si>
    <t>https://masothue.com/4101427275-truong-mam-non-nhon-khanh</t>
  </si>
  <si>
    <t>https://www.google.com/maps/search/?api=1&amp;query=Tr%C6%B0%E1%BB%9Dng%20M%E1%BA%A7m%20non%20Nh%C6%A1n%20Kh%C3%A1nh%2C%20T%E1%BB%95%20d%C3%A2n%20ph%E1%BB%91%20An%20H%C3%B2a%20/%20khu%20v%E1%BB%B1c%20Kh%C3%A1nh%20H%C3%B2a%2C%20ph%C6%B0%E1%BB%9Dng%20B%C3%ACnh%20%C4%90%E1%BB%8Bnh%2C%20t%E1%BB%89nh%20Gia%20Lai</t>
  </si>
  <si>
    <t>Trường Mầm non Nhơn Phúc</t>
  </si>
  <si>
    <t>W249+8HX, thôn An Thái, phường Bình Định, tỉnh Gia Lai</t>
  </si>
  <si>
    <t>W249+8HX</t>
  </si>
  <si>
    <t>Giải mã Plus Code công khai W249+8HX</t>
  </si>
  <si>
    <t>0982209226</t>
  </si>
  <si>
    <t>https://www.google.com/maps/search/?api=1&amp;query=Tr%C6%B0%E1%BB%9Dng%20M%E1%BA%A7m%20non%20Nh%C6%A1n%20Ph%C3%BAc%2C%20W249%2B8HX%2C%20th%C3%B4n%20An%20Th%C3%A1i%2C%20ph%C6%B0%E1%BB%9Dng%20B%C3%ACnh%20%C4%90%E1%BB%8Bnh%2C%20t%E1%BB%89nh%20Gia%20Lai</t>
  </si>
  <si>
    <t>THCS công lập</t>
  </si>
  <si>
    <t>Trường THCS Bình Định</t>
  </si>
  <si>
    <t>V4M4+XP3, đường Trần Thị Kỷ, phường Bình Định, tỉnh Gia Lai</t>
  </si>
  <si>
    <t>V4M4+XP3</t>
  </si>
  <si>
    <t>Giải mã Plus Code công khai V4M4+XP3</t>
  </si>
  <si>
    <t>02563835328</t>
  </si>
  <si>
    <t>THCS; công lập</t>
  </si>
  <si>
    <t>https://www.google.com/maps/search/?api=1&amp;query=Tr%C6%B0%E1%BB%9Dng%20THCS%20B%C3%ACnh%20%C4%90%E1%BB%8Bnh%2C%20V4M4%2BXP3%2C%20%C4%91%C6%B0%E1%BB%9Dng%20Tr%E1%BA%A7n%20Th%E1%BB%8B%20K%E1%BB%B7%2C%20ph%C6%B0%E1%BB%9Dng%20B%C3%ACnh%20%C4%90%E1%BB%8Bnh%2C%20t%E1%BB%89nh%20Gia%20Lai</t>
  </si>
  <si>
    <t>Trường THCS Nhơn Khánh</t>
  </si>
  <si>
    <t>V3R8+FQ9, phường Bình Định, tỉnh Gia Lai</t>
  </si>
  <si>
    <t>V3R8+FQ9</t>
  </si>
  <si>
    <t>Giải mã Plus Code công khai V3R8+FQ9</t>
  </si>
  <si>
    <t>https://www.google.com/maps/search/?api=1&amp;query=Tr%C6%B0%E1%BB%9Dng%20THCS%20Nh%C6%A1n%20Kh%C3%A1nh%2C%20V3R8%2BFQ9%2C%20ph%C6%B0%E1%BB%9Dng%20B%C3%ACnh%20%C4%90%E1%BB%8Bnh%2C%20t%E1%BB%89nh%20Gia%20Lai</t>
  </si>
  <si>
    <t>Trường THCS Nhơn Phúc</t>
  </si>
  <si>
    <t>35 An Thái 1, phường Bình Định, tỉnh Gia Lai</t>
  </si>
  <si>
    <t>https://www.google.com/maps/search/?api=1&amp;query=Tr%C6%B0%E1%BB%9Dng%20THCS%20Nh%C6%A1n%20Ph%C3%BAc%2C%2035%20An%20Th%C3%A1i%201%2C%20ph%C6%B0%E1%BB%9Dng%20B%C3%ACnh%20%C4%90%E1%BB%8Bnh%2C%20t%E1%BB%89nh%20Gia%20Lai</t>
  </si>
  <si>
    <t>THPT</t>
  </si>
  <si>
    <t>Trường THPT Nguyễn Đình Chiểu</t>
  </si>
  <si>
    <t>108 Nguyễn Đình Chiểu, phường Bình Định, tỉnh Gia Lai</t>
  </si>
  <si>
    <t>02563835345</t>
  </si>
  <si>
    <t>https://thptnguyendinhchieu-gialai.edu.vn/</t>
  </si>
  <si>
    <t>THPT; công lập</t>
  </si>
  <si>
    <t>https://www.google.com/maps/search/?api=1&amp;query=Tr%C6%B0%E1%BB%9Dng%20THPT%20Nguy%E1%BB%85n%20%C4%90%C3%ACnh%20Chi%E1%BB%83u%2C%20108%20Nguy%E1%BB%85n%20%C4%90%C3%ACnh%20Chi%E1%BB%83u%2C%20ph%C6%B0%E1%BB%9Dng%20B%C3%ACnh%20%C4%90%E1%BB%8Bnh%2C%20t%E1%BB%89nh%20Gia%20Lai</t>
  </si>
  <si>
    <t>Trường THPT Số 1 An Nhơn</t>
  </si>
  <si>
    <t>89 Lê Hồng Phong, phường Bình Định, tỉnh Gia Lai</t>
  </si>
  <si>
    <t>02563835341</t>
  </si>
  <si>
    <t>https://www.google.com/maps/search/?api=1&amp;query=Tr%C6%B0%E1%BB%9Dng%20THPT%20S%E1%BB%91%201%20An%20Nh%C6%A1n%2C%2089%20L%C3%AA%20H%E1%BB%93ng%20Phong%2C%20ph%C6%B0%E1%BB%9Dng%20B%C3%ACnh%20%C4%90%E1%BB%8Bnh%2C%20t%E1%BB%89nh%20Gia%20Lai</t>
  </si>
  <si>
    <t>Tiểu học công lập</t>
  </si>
  <si>
    <t>Trường Tiểu học Nhơn Khánh</t>
  </si>
  <si>
    <t>V3R8+3XW, Khánh Hòa, phường Bình Định, tỉnh Gia Lai</t>
  </si>
  <si>
    <t>V3R8+3XW</t>
  </si>
  <si>
    <t>Giải mã Plus Code công khai V3R8+3XW</t>
  </si>
  <si>
    <t>02563836626</t>
  </si>
  <si>
    <t>tiểu học; công lập</t>
  </si>
  <si>
    <t>https://www.google.com/maps/search/?api=1&amp;query=Tr%C6%B0%E1%BB%9Dng%20Ti%E1%BB%83u%20h%E1%BB%8Dc%20Nh%C6%A1n%20Kh%C3%A1nh%2C%20V3R8%2B3XW%2C%20Kh%C3%A1nh%20H%C3%B2a%2C%20ph%C6%B0%E1%BB%9Dng%20B%C3%ACnh%20%C4%90%E1%BB%8Bnh%2C%20t%E1%BB%89nh%20Gia%20Lai</t>
  </si>
  <si>
    <t>Trường Tiểu học Nhơn Phúc</t>
  </si>
  <si>
    <t>W25H+P64, thôn Mỹ Thạnh, phường Bình Định, tỉnh Gia Lai</t>
  </si>
  <si>
    <t>W25H+P64</t>
  </si>
  <si>
    <t>Giải mã Plus Code công khai W25H+P64</t>
  </si>
  <si>
    <t>https://www.google.com/maps/search/?api=1&amp;query=Tr%C6%B0%E1%BB%9Dng%20Ti%E1%BB%83u%20h%E1%BB%8Dc%20Nh%C6%A1n%20Ph%C3%BAc%2C%20W25H%2BP64%2C%20th%C3%B4n%20M%E1%BB%B9%20Th%E1%BA%A1nh%2C%20ph%C6%B0%E1%BB%9Dng%20B%C3%ACnh%20%C4%90%E1%BB%8Bnh%2C%20t%E1%BB%89nh%20Gia%20Lai</t>
  </si>
  <si>
    <t>Trường Tiểu học Số 1 Phường Bình Định</t>
  </si>
  <si>
    <t>82 Lê Hồng Phong, phường Bình Định, tỉnh Gia Lai</t>
  </si>
  <si>
    <t>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</t>
  </si>
  <si>
    <t>Trường Tiểu học Số 2 Phường Bình Định</t>
  </si>
  <si>
    <t>70 Trương Công Định, phường Bình Định, tỉnh Gia Lai</t>
  </si>
  <si>
    <t>02563635562</t>
  </si>
  <si>
    <t>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</t>
  </si>
  <si>
    <t>Trung cấp</t>
  </si>
  <si>
    <t>Trường Trung cấp Kinh tế Kỹ thuật Bình Định</t>
  </si>
  <si>
    <t>27 Trần Thị Kỷ, phường Bình Định, tỉnh Gia Lai</t>
  </si>
  <si>
    <t>trung cấp; nghề</t>
  </si>
  <si>
    <t>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</t>
  </si>
  <si>
    <t>Tên di tích / địa điểm</t>
  </si>
  <si>
    <t>Loại hình</t>
  </si>
  <si>
    <t>Tình trạng pháp lý</t>
  </si>
  <si>
    <t>Giá trị / ghi chú</t>
  </si>
  <si>
    <t>Nguồn pháp lý</t>
  </si>
  <si>
    <t>Nội dung</t>
  </si>
  <si>
    <t>Thông tin</t>
  </si>
  <si>
    <t>Nguồn</t>
  </si>
  <si>
    <t>Phạm vi hành chính</t>
  </si>
  <si>
    <t>Phường Bình Định mới được thành lập trên cơ sở toàn bộ phường Bình Định cũ, xã Nhơn Khánh cũ và xã Nhơn Phúc cũ; mã đơn vị 21907; diện tích khoảng 25,16 km².</t>
  </si>
  <si>
    <t>Nguyên tắc lọc</t>
  </si>
  <si>
    <t>Chỉ giữ điểm có địa chỉ/Plus Code/toạ độ hoặc nguồn hành chính cho thấy thuộc một trong ba đơn vị cũ nêu trên. Không lấy các điểm ở An Nhơn Đông, An Nhơn Bắc, Quy Nhơn hoặc đơn vị khác.</t>
  </si>
  <si>
    <t>Ranh giới pháp lý</t>
  </si>
  <si>
    <t>Ba đơn vị cũ được hợp nhất nguyên trạng; vì vậy việc đối chiếu tên thôn/khu vực cũ là một căn cứ quan trọng khi dữ liệu bản đồ chưa có polygon tải trực tiếp.</t>
  </si>
  <si>
    <t>Trung tâm hành chính</t>
  </si>
  <si>
    <t>UBND phường Bình Định: 78 Lê Hồng Phong, phường Bình Định, tỉnh Gia Lai.</t>
  </si>
  <si>
    <t>Giáo dục công lập 2025-2026</t>
  </si>
  <si>
    <t>Toàn phường có 10 trường công lập, 194 nhóm/lớp và 6.730 trẻ, học sinh.</t>
  </si>
  <si>
    <t>Vai trò nguồn</t>
  </si>
  <si>
    <t>URL</t>
  </si>
  <si>
    <t>Nguồn đối chiếu ranh giới/thông tin</t>
  </si>
  <si>
    <t>Nguồn chính của điểm, Nguồn đối chiếu ranh giới/thông tin</t>
  </si>
  <si>
    <t>Nguồn chính của điểm</t>
  </si>
  <si>
    <t>Link bản đồ</t>
  </si>
  <si>
    <t>Link bản đồ, Nguồn chính của điểm</t>
  </si>
  <si>
    <t>Link bản đồ, Nguồn đối chiếu ranh giới/thông tin</t>
  </si>
  <si>
    <t>STT danh mục</t>
  </si>
  <si>
    <t>Nội dung cần kiểm tra</t>
  </si>
  <si>
    <t>Chưa có GPS số; Chưa có số điện thoại công khai</t>
  </si>
  <si>
    <t>Chưa có số điện thoại công khai</t>
  </si>
  <si>
    <t>Chưa có GPS số; Chưa có số điện thoại công khai; Cần khảo sát GPS tại cổng/khuôn viên di tích vì nguồn công khai chưa cho tọa độ số chính xác.</t>
  </si>
  <si>
    <t>Chưa có GPS số</t>
  </si>
  <si>
    <t>Mức C - cần kiểm tra thực địa/điện thoại; Chưa có GPS số; Chưa có số điện thoại công khai</t>
  </si>
  <si>
    <t>Mức C - cần kiểm tra thực địa/điện thoại; Chưa có GPS số; Chưa có số điện thoại công khai; Cần xác minh vị trí cổng vào và thông tin liên hệ.</t>
  </si>
  <si>
    <t>Mức C - cần kiểm tra thực địa/điện thoại; Chưa có số điện thoại công khai; Cần xác minh lại số điện thoại và giờ hoạt động.</t>
  </si>
  <si>
    <t>Mức C - cần kiểm tra thực địa/điện thoại; Chưa có GPS số; Chưa có số điện thoại công khai; Cần xác minh trạng thái ATM hiện tại.</t>
  </si>
  <si>
    <t>Chưa có GPS số; Chưa có số điện thoại công khai; Nên kiểm tra trạng thái ATM hiện tại.</t>
  </si>
  <si>
    <t>Mức C - cần kiểm tra thực địa/điện thoại; Chưa có GPS số; Chưa có số điện thoại công khai; Cần xác minh trạng thái giao dịch hiện tại của điểm SCB.</t>
  </si>
  <si>
    <t>Chưa có GPS số; Chưa có số điện thoại công khai; Nên kiểm tra trạng thái hoạt động hiện tại trước khi giao dịch.</t>
  </si>
  <si>
    <t>Mức C - cần kiểm tra thực địa/điện thoại; Chưa có số điện thoại công khai; Cần xác minh công năng hiện tại; đầu mối chính là Công an phường Bình Định.</t>
  </si>
  <si>
    <t>Mức C - cần kiểm tra thực địa/điện thoại; Chưa có GPS số; Cần xác minh tên cơ quan thuế hiện hành sau tổ chức lại năm 2025-2026.</t>
  </si>
  <si>
    <t>Chưa có GPS số; Tên đơn vị có thể thay đổi theo cơ cấu tổ chức sau sắp xếp; cần đối chiếu trước khi giao dịch.</t>
  </si>
  <si>
    <t>DANH MỤC ĐỊA ĐIỂM PHƯỜNG BÌNH ĐỊNH, TỈNH GIA 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</si>
</sst>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000"/>
    <numFmt numFmtId="166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8000"/>
      <name val="Calibri"/>
    </font>
    <font>
      <sz val="12"/>
      <color theme="10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6"/>
      <color rgb="FF404040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0F6B78"/>
      </patternFill>
    </fill>
    <fill>
      <patternFill patternType="solid">
        <fgColor rgb="FF1F4E78"/>
      </patternFill>
    </fill>
    <fill>
      <patternFill patternType="solid">
        <fgColor rgb="FFC65911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43" fontId="8" fillId="0" borderId="0" applyFont="0" applyFill="0" applyBorder="0" applyAlignment="0" applyProtection="0"/>
  </cellStyleXfs>
  <cellXfs count="23">
    <xf numFmtId="0" fontId="0" fillId="0" borderId="0" xfId="0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0" borderId="0" xfId="1"/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3" fillId="0" borderId="0" xfId="1" applyAlignment="1">
      <alignment vertical="top" wrapText="1"/>
    </xf>
    <xf numFmtId="0" fontId="1" fillId="8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166" fontId="0" fillId="0" borderId="0" xfId="2" applyNumberFormat="1" applyFont="1" applyAlignment="1">
      <alignment wrapText="1"/>
    </xf>
    <xf numFmtId="166" fontId="0" fillId="0" borderId="0" xfId="0" applyNumberFormat="1" applyAlignment="1">
      <alignment wrapText="1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Số địa điểm theo nhóm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Tong_hop!$B$8</c:f>
              <c:strCache>
                <c:ptCount val="1"/>
                <c:pt idx="0">
                  <c:v>Số điểm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Tong_hop!$A$9:$A$19</c:f>
              <c:strCache>
                <c:ptCount val="11"/>
                <c:pt idx="0">
                  <c:v>Di tích lịch sử / khảo cổ</c:v>
                </c:pt>
                <c:pt idx="1">
                  <c:v>Văn hóa / du lịch / tâm linh</c:v>
                </c:pt>
                <c:pt idx="2">
                  <c:v>Lưu trú du lịch</c:v>
                </c:pt>
                <c:pt idx="3">
                  <c:v>Ẩm thực / nhà hàng / cafe</c:v>
                </c:pt>
                <c:pt idx="4">
                  <c:v>Vui chơi / thể thao</c:v>
                </c:pt>
                <c:pt idx="5">
                  <c:v>Y tế / chăm sóc sức khỏe</c:v>
                </c:pt>
                <c:pt idx="6">
                  <c:v>Ngân hàng / ATM</c:v>
                </c:pt>
                <c:pt idx="7">
                  <c:v>Mua sắm / chợ / siêu thị</c:v>
                </c:pt>
                <c:pt idx="8">
                  <c:v>Bưu chính / viễn thông / điện / nhiên liệu</c:v>
                </c:pt>
                <c:pt idx="9">
                  <c:v>Hành chính / công an / PCCC</c:v>
                </c:pt>
                <c:pt idx="10">
                  <c:v>Giáo dục</c:v>
                </c:pt>
              </c:strCache>
            </c:strRef>
          </c:cat>
          <c:val>
            <c:numRef>
              <c:f>Tong_hop!$B$9:$B$19</c:f>
              <c:numCache>
                <c:formatCode>General</c:formatCode>
                <c:ptCount val="11"/>
                <c:pt idx="0">
                  <c:v>8</c:v>
                </c:pt>
                <c:pt idx="1">
                  <c:v>21</c:v>
                </c:pt>
                <c:pt idx="2">
                  <c:v>8</c:v>
                </c:pt>
                <c:pt idx="3">
                  <c:v>29</c:v>
                </c:pt>
                <c:pt idx="4">
                  <c:v>16</c:v>
                </c:pt>
                <c:pt idx="5">
                  <c:v>13</c:v>
                </c:pt>
                <c:pt idx="6">
                  <c:v>24</c:v>
                </c:pt>
                <c:pt idx="7">
                  <c:v>8</c:v>
                </c:pt>
                <c:pt idx="8">
                  <c:v>6</c:v>
                </c:pt>
                <c:pt idx="9">
                  <c:v>13</c:v>
                </c:pt>
                <c:pt idx="1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27-4459-B929-E5D0B1238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Số điểm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Nhóm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7</xdr:row>
      <xdr:rowOff>0</xdr:rowOff>
    </xdr:from>
    <xdr:ext cx="468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%E1%BA%A8m%20Th%E1%BB%B1c%20S%C6%A1%20Ri%20B%C3%ACnh%20%C4%90%E1%BB%8Bnh%2C%20V4M7%2BFVM%2C%20Phan%20%C4%90%C3%ACnh%20Ph%C3%B9ng%2C%20ph%C6%B0%E1%BB%9Dng%20B%C3%ACnh%20%C4%90%E1%BB%8Bnh%2C%20t%E1%BB%89nh%20Gia%20Lai" TargetMode="External"/><Relationship Id="rId299" Type="http://schemas.openxmlformats.org/officeDocument/2006/relationships/hyperlink" Target="https://tinhthanhvn.com/bando/gia-lai/phuong-binh-dinh" TargetMode="External"/><Relationship Id="rId21" Type="http://schemas.openxmlformats.org/officeDocument/2006/relationships/hyperlink" Target="https://www.google.com/maps/search/?api=1&amp;query_place_id=ChIJGZ9j5xw-bzERbZ7vFj3z438" TargetMode="External"/><Relationship Id="rId63" Type="http://schemas.openxmlformats.org/officeDocument/2006/relationships/hyperlink" Target="https://www.google.com/maps/search/?api=1&amp;query_place_id=ChIJIyZyXrA9bzERPaK1aoWcbkY" TargetMode="External"/><Relationship Id="rId159" Type="http://schemas.openxmlformats.org/officeDocument/2006/relationships/hyperlink" Target="https://www.google.com/maps/search/?api=1&amp;query_place_id=ChIJSfD2Ya8_bzERahwWUJr4N_c" TargetMode="External"/><Relationship Id="rId324" Type="http://schemas.openxmlformats.org/officeDocument/2006/relationships/hyperlink" Target="https://www.google.com/maps/search/?api=1&amp;query_place_id=ChIJ1f2vzR4-bzERohVm5PRMTec" TargetMode="External"/><Relationship Id="rId366" Type="http://schemas.openxmlformats.org/officeDocument/2006/relationships/hyperlink" Target="https://www.google.com/maps/search/?api=1&amp;query_place_id=ChIJEVTPuUM9bzERd5KhbdP2qhE" TargetMode="External"/><Relationship Id="rId170" Type="http://schemas.openxmlformats.org/officeDocument/2006/relationships/hyperlink" Target="https://tinhthanhvn.com/bando/gia-lai/phuong-binh-dinh" TargetMode="External"/><Relationship Id="rId226" Type="http://schemas.openxmlformats.org/officeDocument/2006/relationships/hyperlink" Target="https://www.google.com/maps/search/?api=1&amp;query_place_id=ChIJGZ5po6w_bzERVDKVkqmmg6M" TargetMode="External"/><Relationship Id="rId433" Type="http://schemas.openxmlformats.org/officeDocument/2006/relationships/hyperlink" Target="https://binhdinh.gialai.gov.vn/" TargetMode="External"/><Relationship Id="rId268" Type="http://schemas.openxmlformats.org/officeDocument/2006/relationships/hyperlink" Target="https://www.google.com/maps/search/?api=1&amp;query_place_id=ChIJk-4fo4I_bzERCrLZviLgCpg" TargetMode="External"/><Relationship Id="rId475" Type="http://schemas.openxmlformats.org/officeDocument/2006/relationships/hyperlink" Target="https://thptnguyendinhchieu-gialai.edu.vn/" TargetMode="External"/><Relationship Id="rId32" Type="http://schemas.openxmlformats.org/officeDocument/2006/relationships/hyperlink" Target="https://tinhthanhvn.com/bando/gia-lai/phuong-binh-dinh" TargetMode="External"/><Relationship Id="rId74" Type="http://schemas.openxmlformats.org/officeDocument/2006/relationships/hyperlink" Target="https://tinhthanhvn.com/bando/gia-lai/phuong-binh-dinh" TargetMode="External"/><Relationship Id="rId128" Type="http://schemas.openxmlformats.org/officeDocument/2006/relationships/hyperlink" Target="https://tinhthanhvn.com/bando/gia-lai/phuong-binh-dinh" TargetMode="External"/><Relationship Id="rId335" Type="http://schemas.openxmlformats.org/officeDocument/2006/relationships/hyperlink" Target="https://tinhthanhvn.com/bando/gia-lai/phuong-binh-dinh" TargetMode="External"/><Relationship Id="rId377" Type="http://schemas.openxmlformats.org/officeDocument/2006/relationships/hyperlink" Target="https://tinhthanhvn.com/bando/gia-lai/phuong-binh-dinh" TargetMode="External"/><Relationship Id="rId5" Type="http://schemas.openxmlformats.org/officeDocument/2006/relationships/hyperlink" Target="https://baovanhoa.vn/van-hoa/toa-dam-khoi-phuc-le-hoi-do-gian-an-thai-101273.html" TargetMode="External"/><Relationship Id="rId181" Type="http://schemas.openxmlformats.org/officeDocument/2006/relationships/hyperlink" Target="https://www.google.com/maps/search/?api=1&amp;query_place_id=ChIJ_V1iZgA9bzERDLWyZn0LDvQ" TargetMode="External"/><Relationship Id="rId237" Type="http://schemas.openxmlformats.org/officeDocument/2006/relationships/hyperlink" Target="https://www.google.com/maps/search/?api=1&amp;query=S%C3%A2n%20b%C3%B3ng%20%26%20c%C3%A0%20ph%C3%AA%20To%C3%A0n%20Th%E1%BA%AFng%2C%2020%20Tr%E1%BA%A7n%20Th%E1%BB%8B%20K%E1%BB%B7%2C%20ph%C6%B0%E1%BB%9Dng%20B%C3%ACnh%20%C4%90%E1%BB%8Bnh%2C%20t%E1%BB%89nh%20Gia%20Lai" TargetMode="External"/><Relationship Id="rId402" Type="http://schemas.openxmlformats.org/officeDocument/2006/relationships/hyperlink" Target="https://www.google.com/maps/search/?api=1&amp;query=Ban%20Qu%E1%BA%A3n%20l%C3%BD%20c%C3%A1c%20d%E1%BB%8Bch%20v%E1%BB%A5%20%C4%91%C3%B4%20th%E1%BB%8B%20An%20Nh%C6%A1n%2C%20399%20Tr%E1%BA%A7n%20Ph%C3%BA%2C%20Ph%C6%B0%E1%BB%9Dng%20B%C3%ACnh%20%C4%90%E1%BB%8Bnh%2C%20T%E1%BB%89nh%20Gia%20Lai" TargetMode="External"/><Relationship Id="rId279" Type="http://schemas.openxmlformats.org/officeDocument/2006/relationships/hyperlink" Target="https://www.google.com/maps/search/?api=1&amp;query_place_id=ChIJeZmMuBg-bzERBlZFOhgH9aw" TargetMode="External"/><Relationship Id="rId444" Type="http://schemas.openxmlformats.org/officeDocument/2006/relationships/hyperlink" Target="https://www.google.com/maps/search/?api=1&amp;query=M%E1%BA%A7m%20non%20T%C6%B0%C6%A1ng%20Lai%2C%2078%20AH1%2C%20ph%C6%B0%E1%BB%9Dng%20B%C3%ACnh%20%C4%90%E1%BB%8Bnh%2C%20t%E1%BB%89nh%20Gia%20Lai" TargetMode="External"/><Relationship Id="rId486" Type="http://schemas.openxmlformats.org/officeDocument/2006/relationships/hyperlink" Target="https://www.google.com/maps/search/?api=1&amp;query=Tr%C6%B0%E1%BB%9Dng%20Ti%E1%BB%83u%20h%E1%BB%8Dc%20Nh%C6%A1n%20Ph%C3%BAc%2C%20W25H%2BP64%2C%20th%C3%B4n%20M%E1%BB%B9%20Th%E1%BA%A1nh%2C%20ph%C6%B0%E1%BB%9Dng%20B%C3%ACnh%20%C4%90%E1%BB%8Bnh%2C%20t%E1%BB%89nh%20Gia%20Lai" TargetMode="External"/><Relationship Id="rId43" Type="http://schemas.openxmlformats.org/officeDocument/2006/relationships/hyperlink" Target="https://www.google.com/maps/search/?api=1&amp;query_place_id=ChIJ9T_BkR4-bzERtn_WlLi8GgE" TargetMode="External"/><Relationship Id="rId139" Type="http://schemas.openxmlformats.org/officeDocument/2006/relationships/hyperlink" Target="https://www.google.com/maps/search/?api=1&amp;query_place_id=ChIJa5y9LEY_bzERLfiVucW6Vr4" TargetMode="External"/><Relationship Id="rId290" Type="http://schemas.openxmlformats.org/officeDocument/2006/relationships/hyperlink" Target="https://tinhthanhvn.com/bando/gia-lai/phuong-binh-dinh" TargetMode="External"/><Relationship Id="rId304" Type="http://schemas.openxmlformats.org/officeDocument/2006/relationships/hyperlink" Target="https://tinbds.com/gia-lai/phuong-binh-dinh" TargetMode="External"/><Relationship Id="rId346" Type="http://schemas.openxmlformats.org/officeDocument/2006/relationships/hyperlink" Target="https://tinbds.com/gia-lai/phuong-binh-dinh" TargetMode="External"/><Relationship Id="rId388" Type="http://schemas.openxmlformats.org/officeDocument/2006/relationships/hyperlink" Target="https://www.google.com/maps/search/?api=1&amp;query_place_id=ChIJx6A1DQY_bzERyFgnrPJAz9M" TargetMode="External"/><Relationship Id="rId85" Type="http://schemas.openxmlformats.org/officeDocument/2006/relationships/hyperlink" Target="https://baovanhoa.vn/van-hoa/toa-dam-khoi-phuc-le-hoi-do-gian-an-thai-101273.html" TargetMode="External"/><Relationship Id="rId150" Type="http://schemas.openxmlformats.org/officeDocument/2006/relationships/hyperlink" Target="https://www.google.com/maps/search/?api=1&amp;query_place_id=ChIJCarclYsVbzERpfc1hLpm4XQ" TargetMode="External"/><Relationship Id="rId192" Type="http://schemas.openxmlformats.org/officeDocument/2006/relationships/hyperlink" Target="https://www.google.com/maps/search/?api=1&amp;query_place_id=ChIJLcnfsRY_bzERSYVViKrtYWo" TargetMode="External"/><Relationship Id="rId206" Type="http://schemas.openxmlformats.org/officeDocument/2006/relationships/hyperlink" Target="https://tinhthanhvn.com/bando/gia-lai/phuong-binh-dinh" TargetMode="External"/><Relationship Id="rId413" Type="http://schemas.openxmlformats.org/officeDocument/2006/relationships/hyperlink" Target="https://tinhthanhvn.com/bando/gia-lai/phuong-binh-dinh" TargetMode="External"/><Relationship Id="rId248" Type="http://schemas.openxmlformats.org/officeDocument/2006/relationships/hyperlink" Target="https://tinhthanhvn.com/bando/gia-lai/phuong-binh-dinh" TargetMode="External"/><Relationship Id="rId455" Type="http://schemas.openxmlformats.org/officeDocument/2006/relationships/hyperlink" Target="https://tinhthanhvn.com/bando/gia-lai/phuong-binh-dinh" TargetMode="External"/><Relationship Id="rId12" Type="http://schemas.openxmlformats.org/officeDocument/2006/relationships/hyperlink" Target="https://www.google.com/maps/search/?api=1&amp;query=%C4%90%E1%BB%8Ba%20%C4%91i%E1%BB%83m%20nh%C3%A0%20th%E1%BA%A7y%20Tr%C6%B0%C6%A1ng%20V%C4%83n%20Hi%E1%BA%BFn%2C%20Th%C3%B4n%20Th%E1%BA%AFng%20C%C3%B4ng%2C%20ph%C6%B0%E1%BB%9Dng%20B%C3%ACnh%20%C4%90%E1%BB%8Bnh%2C%20t%E1%BB%89nh%20Gia%20Lai%20%28x%C3%A3%20Nh%C6%A1n%20Ph%C3%BAc%20c%C5%A9%29" TargetMode="External"/><Relationship Id="rId108" Type="http://schemas.openxmlformats.org/officeDocument/2006/relationships/hyperlink" Target="https://www.google.com/maps/search/?api=1&amp;query_place_id=ChIJgycv4a4VbzERKMh-YFjTEPk" TargetMode="External"/><Relationship Id="rId315" Type="http://schemas.openxmlformats.org/officeDocument/2006/relationships/hyperlink" Target="https://www.google.com/maps/search/?api=1&amp;query=ATM%20SCB%20An%20Nh%C6%A1n%2C%20105%20Tr%E1%BA%A7n%20Ph%C3%BA%2C%20ph%C6%B0%E1%BB%9Dng%20B%C3%ACnh%20%C4%90%E1%BB%8Bnh%2C%20t%E1%BB%89nh%20Gia%20Lai" TargetMode="External"/><Relationship Id="rId357" Type="http://schemas.openxmlformats.org/officeDocument/2006/relationships/hyperlink" Target="https://www.google.com/maps/search/?api=1&amp;query=VPBank%20An%20Nh%C6%A1n%2C%2046%20Ng%C3%B4%20Gia%20T%E1%BB%B1%2C%20ph%C6%B0%E1%BB%9Dng%20B%C3%ACnh%20%C4%90%E1%BB%8Bnh%2C%20t%E1%BB%89nh%20Gia%20Lai" TargetMode="External"/><Relationship Id="rId54" Type="http://schemas.openxmlformats.org/officeDocument/2006/relationships/hyperlink" Target="https://www.google.com/maps/search/?api=1&amp;query_place_id=ChIJy-lGKgA9bzERLue_BuXaXZs" TargetMode="External"/><Relationship Id="rId96" Type="http://schemas.openxmlformats.org/officeDocument/2006/relationships/hyperlink" Target="https://www.google.com/maps/search/?api=1&amp;query_place_id=ChIJo4MuU789bzERTxonaVU4jAw" TargetMode="External"/><Relationship Id="rId161" Type="http://schemas.openxmlformats.org/officeDocument/2006/relationships/hyperlink" Target="https://tinhthanhvn.com/bando/gia-lai/phuong-binh-dinh" TargetMode="External"/><Relationship Id="rId217" Type="http://schemas.openxmlformats.org/officeDocument/2006/relationships/hyperlink" Target="https://www.google.com/maps/search/?api=1&amp;query=Karaoke%20Ki%E1%BB%81u%20Vy%2C%20117%20Thanh%20Ni%C3%AAn%2C%20ph%C6%B0%E1%BB%9Dng%20B%C3%ACnh%20%C4%90%E1%BB%8Bnh%2C%20t%E1%BB%89nh%20Gia%20Lai" TargetMode="External"/><Relationship Id="rId399" Type="http://schemas.openxmlformats.org/officeDocument/2006/relationships/hyperlink" Target="https://www.google.com/maps/search/?api=1&amp;query=VNPT%20An%20Nh%C6%A1n%2C%20229%20Tr%E1%BA%A7n%20Ph%C3%BA%2C%20ph%C6%B0%E1%BB%9Dng%20B%C3%ACnh%20%C4%90%E1%BB%8Bnh%2C%20t%E1%BB%89nh%20Gia%20Lai" TargetMode="External"/><Relationship Id="rId259" Type="http://schemas.openxmlformats.org/officeDocument/2006/relationships/hyperlink" Target="https://www.google.com/maps/search/?api=1&amp;query=Nha%20khoa%20Th%C3%A0nh%20%C4%90%E1%BA%A1t%203%20-%20CN%20Nh%C6%A1n%20Ph%C3%BAc%2C%20124%20An%20Th%C3%A1i%20-%20Nh%C6%A1n%20Ph%C3%BAc%2C%20ph%C6%B0%E1%BB%9Dng%20B%C3%ACnh%20%C4%90%E1%BB%8Bnh%2C%20t%E1%BB%89nh%20Gia%20Lai" TargetMode="External"/><Relationship Id="rId424" Type="http://schemas.openxmlformats.org/officeDocument/2006/relationships/hyperlink" Target="https://binhdinh.gialai.gov.vn/tin-tuc/phuong-binh-dinh-to-chuc-hoi-nghi-lay-y-kien-du-thao-de-an-sap-xep-to-chuc-lai-cac-to-dan-pho.html" TargetMode="External"/><Relationship Id="rId466" Type="http://schemas.openxmlformats.org/officeDocument/2006/relationships/hyperlink" Target="https://www.google.com/maps/search/?api=1&amp;query=Tr%C6%B0%E1%BB%9Dng%20THCS%20B%C3%ACnh%20%C4%90%E1%BB%8Bnh%2C%20V4M4%2BXP3%2C%20%C4%91%C6%B0%E1%BB%9Dng%20Tr%E1%BA%A7n%20Th%E1%BB%8B%20K%E1%BB%B7%2C%20ph%C6%B0%E1%BB%9Dng%20B%C3%ACnh%20%C4%90%E1%BB%8Bnh%2C%20t%E1%BB%89nh%20Gia%20Lai" TargetMode="External"/><Relationship Id="rId23" Type="http://schemas.openxmlformats.org/officeDocument/2006/relationships/hyperlink" Target="https://tinhthanhvn.com/bando/gia-lai/phuong-binh-dinh" TargetMode="External"/><Relationship Id="rId119" Type="http://schemas.openxmlformats.org/officeDocument/2006/relationships/hyperlink" Target="https://tinhthanhvn.com/bando/gia-lai/phuong-binh-dinh" TargetMode="External"/><Relationship Id="rId270" Type="http://schemas.openxmlformats.org/officeDocument/2006/relationships/hyperlink" Target="https://www.google.com/maps/search/?api=1&amp;query_place_id=ChIJk-4fo4I_bzERCrLZviLgCpg" TargetMode="External"/><Relationship Id="rId326" Type="http://schemas.openxmlformats.org/officeDocument/2006/relationships/hyperlink" Target="https://gialai.hdbank.com.vn/" TargetMode="External"/><Relationship Id="rId65" Type="http://schemas.openxmlformats.org/officeDocument/2006/relationships/hyperlink" Target="https://tinhthanhvn.com/bando/gia-lai/phuong-binh-dinh" TargetMode="External"/><Relationship Id="rId130" Type="http://schemas.openxmlformats.org/officeDocument/2006/relationships/hyperlink" Target="https://www.google.com/maps/search/?api=1&amp;query_place_id=ChIJa1naAx8-bzERKzsT9fPxkYs" TargetMode="External"/><Relationship Id="rId368" Type="http://schemas.openxmlformats.org/officeDocument/2006/relationships/hyperlink" Target="https://tinhthanhvn.com/bando/gia-lai/phuong-binh-dinh" TargetMode="External"/><Relationship Id="rId172" Type="http://schemas.openxmlformats.org/officeDocument/2006/relationships/hyperlink" Target="https://www.google.com/maps/search/?api=1&amp;query=Qu%C3%A1n%20%C4%82n%20H%C6%B0%E1%BB%9Dng%202%2C%2002%20Nguy%E1%BB%85n%20%C4%90%C3%ACnh%20Chi%E1%BB%83u%2C%20B%C3%ACnh%20%C4%90%E1%BB%8Bnh%2C%20Gia%20Lai" TargetMode="External"/><Relationship Id="rId228" Type="http://schemas.openxmlformats.org/officeDocument/2006/relationships/hyperlink" Target="https://www.google.com/maps/search/?api=1&amp;query_place_id=ChIJGZ5po6w_bzERVDKVkqmmg6M" TargetMode="External"/><Relationship Id="rId435" Type="http://schemas.openxmlformats.org/officeDocument/2006/relationships/hyperlink" Target="https://www.google.com/maps/search/?api=1&amp;query_place_id=ChIJSzWgFQA_bzER0PRSDz7hPqE" TargetMode="External"/><Relationship Id="rId477" Type="http://schemas.openxmlformats.org/officeDocument/2006/relationships/hyperlink" Target="https://www.google.com/maps/search/?api=1&amp;query=Tr%C6%B0%E1%BB%9Dng%20THPT%20Nguy%E1%BB%85n%20%C4%90%C3%ACnh%20Chi%E1%BB%83u%2C%20108%20Nguy%E1%BB%85n%20%C4%90%C3%ACnh%20Chi%E1%BB%83u%2C%20ph%C6%B0%E1%BB%9Dng%20B%C3%ACnh%20%C4%90%E1%BB%8Bnh%2C%20t%E1%BB%89nh%20Gia%20Lai" TargetMode="External"/><Relationship Id="rId281" Type="http://schemas.openxmlformats.org/officeDocument/2006/relationships/hyperlink" Target="https://tinhthanhvn.com/bando/gia-lai/phuong-binh-dinh" TargetMode="External"/><Relationship Id="rId337" Type="http://schemas.openxmlformats.org/officeDocument/2006/relationships/hyperlink" Target="https://timbankvn.com/tim-chi-nhanh/mbbank-pgd-an-nhon/" TargetMode="External"/><Relationship Id="rId34" Type="http://schemas.openxmlformats.org/officeDocument/2006/relationships/hyperlink" Target="https://www.google.com/maps/search/?api=1&amp;query_place_id=ChIJz0OFATU_bzERgICoBQcHsoA" TargetMode="External"/><Relationship Id="rId76" Type="http://schemas.openxmlformats.org/officeDocument/2006/relationships/hyperlink" Target="https://binhdinh.gialai.gov.vn/tin-tuc/phuong-binh-dinh-to-chuc-hoi-nghi-lay-y-kien-du-thao-de-an-sap-xep-to-chuc-lai-cac-to-dan-pho.html" TargetMode="External"/><Relationship Id="rId141" Type="http://schemas.openxmlformats.org/officeDocument/2006/relationships/hyperlink" Target="https://www.google.com/maps/search/?api=1&amp;query_place_id=ChIJa5y9LEY_bzERLfiVucW6Vr4" TargetMode="External"/><Relationship Id="rId379" Type="http://schemas.openxmlformats.org/officeDocument/2006/relationships/hyperlink" Target="https://www.google.com/maps/search/?api=1&amp;query=WinMart%2B%20206%20Tr%E1%BA%A7n%20Ph%C3%BA%2C%20206%20Tr%E1%BA%A7n%20Ph%C3%BA%2C%20ph%C6%B0%E1%BB%9Dng%20B%C3%ACnh%20%C4%90%E1%BB%8Bnh%2C%20t%E1%BB%89nh%20Gia%20Lai" TargetMode="External"/><Relationship Id="rId7" Type="http://schemas.openxmlformats.org/officeDocument/2006/relationships/hyperlink" Target="https://binhdinh.gov.vn/upload/2005340/20231212/4420_qd_2023_72af7.pdf" TargetMode="External"/><Relationship Id="rId183" Type="http://schemas.openxmlformats.org/officeDocument/2006/relationships/hyperlink" Target="https://www.google.com/maps/search/?api=1&amp;query_place_id=ChIJ_V1iZgA9bzERDLWyZn0LDvQ" TargetMode="External"/><Relationship Id="rId239" Type="http://schemas.openxmlformats.org/officeDocument/2006/relationships/hyperlink" Target="https://tinhthanhvn.com/bando/gia-lai/phuong-binh-dinh" TargetMode="External"/><Relationship Id="rId390" Type="http://schemas.openxmlformats.org/officeDocument/2006/relationships/hyperlink" Target="https://www.google.com/maps/search/?api=1&amp;query_place_id=ChIJx6A1DQY_bzERyFgnrPJAz9M" TargetMode="External"/><Relationship Id="rId404" Type="http://schemas.openxmlformats.org/officeDocument/2006/relationships/hyperlink" Target="https://binhdinh.gialai.gov.vn/" TargetMode="External"/><Relationship Id="rId446" Type="http://schemas.openxmlformats.org/officeDocument/2006/relationships/hyperlink" Target="https://tinhthanhvn.com/bando/gia-lai/phuong-binh-dinh" TargetMode="External"/><Relationship Id="rId250" Type="http://schemas.openxmlformats.org/officeDocument/2006/relationships/hyperlink" Target="https://www.google.com/maps/search/?api=1&amp;query=Nha%20Khoa%20%C4%90%C3%B4ng%20Nam%20%C3%81%2C%2084%20Tr%E1%BA%A7n%20Ph%C3%BA%2C%20ph%C6%B0%E1%BB%9Dng%20B%C3%ACnh%20%C4%90%E1%BB%8Bnh%2C%20t%E1%BB%89nh%20Gia%20Lai" TargetMode="External"/><Relationship Id="rId292" Type="http://schemas.openxmlformats.org/officeDocument/2006/relationships/hyperlink" Target="https://tinbds.com/gia-lai/phuong-binh-dinh" TargetMode="External"/><Relationship Id="rId306" Type="http://schemas.openxmlformats.org/officeDocument/2006/relationships/hyperlink" Target="https://www.google.com/maps/search/?api=1&amp;query=ATM%20HDBank%20An%20Nh%C6%A1n%2C%20146-148%20Ng%C3%B4%20Gia%20T%E1%BB%B1%2C%20ph%C6%B0%E1%BB%9Dng%20B%C3%ACnh%20%C4%90%E1%BB%8Bnh%2C%20t%E1%BB%89nh%20Gia%20Lai" TargetMode="External"/><Relationship Id="rId488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45" Type="http://schemas.openxmlformats.org/officeDocument/2006/relationships/hyperlink" Target="https://www.google.com/maps/search/?api=1&amp;query_place_id=ChIJ9T_BkR4-bzERtn_WlLi8GgE" TargetMode="External"/><Relationship Id="rId87" Type="http://schemas.openxmlformats.org/officeDocument/2006/relationships/hyperlink" Target="https://www.google.com/maps/search/?api=1&amp;query=T%E1%BB%AB%20%C4%91%C6%B0%E1%BB%9Dng%20c%E1%BB%91%20danh%20s%C6%B0%20v%C3%B5%20h%E1%BB%8Dc%20Di%E1%BB%87p%20Tr%C6%B0%E1%BB%9Dng%20Ph%C3%A1t%2C%20Khu%20v%E1%BB%B1c%20An%20Th%C3%A1i%2C%20ph%C6%B0%E1%BB%9Dng%20B%C3%ACnh%20%C4%90%E1%BB%8Bnh%2C%20t%E1%BB%89nh%20Gia%20Lai" TargetMode="External"/><Relationship Id="rId110" Type="http://schemas.openxmlformats.org/officeDocument/2006/relationships/hyperlink" Target="https://tinhthanhvn.com/bando/gia-lai/phuong-binh-dinh" TargetMode="External"/><Relationship Id="rId348" Type="http://schemas.openxmlformats.org/officeDocument/2006/relationships/hyperlink" Target="https://www.google.com/maps/search/?api=1&amp;query=SCB%20An%20Nh%C6%A1n%2C%20105%20Tr%E1%BA%A7n%20Ph%C3%BA%2C%20ph%C6%B0%E1%BB%9Dng%20B%C3%ACnh%20%C4%90%E1%BB%8Bnh%2C%20t%E1%BB%89nh%20Gia%20Lai" TargetMode="External"/><Relationship Id="rId152" Type="http://schemas.openxmlformats.org/officeDocument/2006/relationships/hyperlink" Target="https://tinhthanhvn.com/bando/gia-lai/phuong-binh-dinh" TargetMode="External"/><Relationship Id="rId194" Type="http://schemas.openxmlformats.org/officeDocument/2006/relationships/hyperlink" Target="https://tinhthanhvn.com/bando/gia-lai/phuong-binh-dinh" TargetMode="External"/><Relationship Id="rId208" Type="http://schemas.openxmlformats.org/officeDocument/2006/relationships/hyperlink" Target="https://www.google.com/maps/search/?api=1&amp;query_place_id=ChIJmVkNShw-bzERe2khdK_t_rk" TargetMode="External"/><Relationship Id="rId415" Type="http://schemas.openxmlformats.org/officeDocument/2006/relationships/hyperlink" Target="https://thuvienphapluat.vn/ma-so-thue/cong-an-phuong-binh-dinh-mst-4101652619.html" TargetMode="External"/><Relationship Id="rId457" Type="http://schemas.openxmlformats.org/officeDocument/2006/relationships/hyperlink" Target="https://www.google.com/maps/search/?api=1&amp;query=Tr%C6%B0%E1%BB%9Dng%20M%E1%BA%A7m%20non%20B%C3%ACnh%20%C4%90%E1%BB%8Bnh%2C%2034%20%C4%91%C6%B0%E1%BB%9Dng%2030%20Th%C3%A1ng%203%2C%20ph%C6%B0%E1%BB%9Dng%20B%C3%ACnh%20%C4%90%E1%BB%8Bnh%2C%20t%E1%BB%89nh%20Gia%20Lai" TargetMode="External"/><Relationship Id="rId261" Type="http://schemas.openxmlformats.org/officeDocument/2006/relationships/hyperlink" Target="https://www.google.com/maps/search/?api=1&amp;query=Nha%20khoa%20Th%C3%A0nh%20%C4%90%E1%BA%A1t%203%20-%20CN%20Nh%C6%A1n%20Ph%C3%BAc%2C%20124%20An%20Th%C3%A1i%20-%20Nh%C6%A1n%20Ph%C3%BAc%2C%20ph%C6%B0%E1%BB%9Dng%20B%C3%ACnh%20%C4%90%E1%BB%8Bnh%2C%20t%E1%BB%89nh%20Gia%20Lai" TargetMode="External"/><Relationship Id="rId14" Type="http://schemas.openxmlformats.org/officeDocument/2006/relationships/hyperlink" Target="https://tinhthanhvn.com/bando/gia-lai/phuong-binh-dinh" TargetMode="External"/><Relationship Id="rId56" Type="http://schemas.openxmlformats.org/officeDocument/2006/relationships/hyperlink" Target="https://tinhthanhvn.com/bando/gia-lai/phuong-binh-dinh" TargetMode="External"/><Relationship Id="rId317" Type="http://schemas.openxmlformats.org/officeDocument/2006/relationships/hyperlink" Target="https://tinhthanhvn.com/bando/gia-lai/phuong-binh-dinh" TargetMode="External"/><Relationship Id="rId359" Type="http://schemas.openxmlformats.org/officeDocument/2006/relationships/hyperlink" Target="https://tinhthanhvn.com/bando/gia-lai/phuong-binh-dinh" TargetMode="External"/><Relationship Id="rId98" Type="http://schemas.openxmlformats.org/officeDocument/2006/relationships/hyperlink" Target="https://tinhthanhvn.com/bando/gia-lai/phuong-binh-dinh" TargetMode="External"/><Relationship Id="rId121" Type="http://schemas.openxmlformats.org/officeDocument/2006/relationships/hyperlink" Target="https://www.google.com/maps/search/?api=1&amp;query_place_id=ChIJXVAK9hs-bzERpl-tSruQJeI" TargetMode="External"/><Relationship Id="rId163" Type="http://schemas.openxmlformats.org/officeDocument/2006/relationships/hyperlink" Target="https://www.google.com/maps/search/?api=1&amp;query=Qu%C3%A1n%202%20Kh%C3%A1nh%2C%2032%20%C4%90%C3%A0o%20Duy%20T%E1%BB%AB%2C%20ph%C6%B0%E1%BB%9Dng%20B%C3%ACnh%20%C4%90%E1%BB%8Bnh%2C%20t%E1%BB%89nh%20Gia%20Lai" TargetMode="External"/><Relationship Id="rId219" Type="http://schemas.openxmlformats.org/officeDocument/2006/relationships/hyperlink" Target="https://www.google.com/maps/search/?api=1&amp;query=Karaoke%20Ki%E1%BB%81u%20Vy%2C%20117%20Thanh%20Ni%C3%AAn%2C%20ph%C6%B0%E1%BB%9Dng%20B%C3%ACnh%20%C4%90%E1%BB%8Bnh%2C%20t%E1%BB%89nh%20Gia%20Lai" TargetMode="External"/><Relationship Id="rId370" Type="http://schemas.openxmlformats.org/officeDocument/2006/relationships/hyperlink" Target="https://www.google.com/maps/search/?api=1&amp;query_place_id=ChIJW02Dw_kUbzERuHub-uQX7hQ" TargetMode="External"/><Relationship Id="rId426" Type="http://schemas.openxmlformats.org/officeDocument/2006/relationships/hyperlink" Target="https://www.google.com/maps/search/?api=1&amp;query=Nh%C3%A0%20V%C4%83n%20h%C3%B3a%20x%C3%A3%20Nh%C6%A1n%20Ph%C3%BAc%20c%C5%A9%2C%20Khu%20v%E1%BB%B1c%20Nh%C6%A1n%20Ph%C3%BAc%20c%C5%A9%2C%20ph%C6%B0%E1%BB%9Dng%20B%C3%ACnh%20%C4%90%E1%BB%8Bnh%2C%20t%E1%BB%89nh%20Gia%20Lai" TargetMode="External"/><Relationship Id="rId230" Type="http://schemas.openxmlformats.org/officeDocument/2006/relationships/hyperlink" Target="https://tinhthanhvn.com/bando/gia-lai/phuong-binh-dinh" TargetMode="External"/><Relationship Id="rId468" Type="http://schemas.openxmlformats.org/officeDocument/2006/relationships/hyperlink" Target="https://www.google.com/maps/search/?api=1&amp;query=Tr%C6%B0%E1%BB%9Dng%20THCS%20B%C3%ACnh%20%C4%90%E1%BB%8Bnh%2C%20V4M4%2BXP3%2C%20%C4%91%C6%B0%E1%BB%9Dng%20Tr%E1%BA%A7n%20Th%E1%BB%8B%20K%E1%BB%B7%2C%20ph%C6%B0%E1%BB%9Dng%20B%C3%ACnh%20%C4%90%E1%BB%8Bnh%2C%20t%E1%BB%89nh%20Gia%20Lai" TargetMode="External"/><Relationship Id="rId25" Type="http://schemas.openxmlformats.org/officeDocument/2006/relationships/hyperlink" Target="https://baovanhoa.vn/van-hoa/toa-dam-khoi-phuc-le-hoi-do-gian-an-thai-101273.html" TargetMode="External"/><Relationship Id="rId67" Type="http://schemas.openxmlformats.org/officeDocument/2006/relationships/hyperlink" Target="https://www.google.com/maps/search/?api=1&amp;query_place_id=ChIJT8ZqU_QVbzERt3PUFfz9qhc" TargetMode="External"/><Relationship Id="rId272" Type="http://schemas.openxmlformats.org/officeDocument/2006/relationships/hyperlink" Target="https://tinhthanhvn.com/bando/gia-lai/phuong-binh-dinh" TargetMode="External"/><Relationship Id="rId328" Type="http://schemas.openxmlformats.org/officeDocument/2006/relationships/hyperlink" Target="https://tinbds.com/gia-lai/phuong-binh-dinh" TargetMode="External"/><Relationship Id="rId132" Type="http://schemas.openxmlformats.org/officeDocument/2006/relationships/hyperlink" Target="https://www.google.com/maps/search/?api=1&amp;query_place_id=ChIJa1naAx8-bzERKzsT9fPxkYs" TargetMode="External"/><Relationship Id="rId174" Type="http://schemas.openxmlformats.org/officeDocument/2006/relationships/hyperlink" Target="https://www.google.com/maps/search/?api=1&amp;query=Qu%C3%A1n%20%C4%82n%20H%C6%B0%E1%BB%9Dng%202%2C%2002%20Nguy%E1%BB%85n%20%C4%90%C3%ACnh%20Chi%E1%BB%83u%2C%20B%C3%ACnh%20%C4%90%E1%BB%8Bnh%2C%20Gia%20Lai" TargetMode="External"/><Relationship Id="rId381" Type="http://schemas.openxmlformats.org/officeDocument/2006/relationships/hyperlink" Target="https://www.google.com/maps/search/?api=1&amp;query=WinMart%2B%20206%20Tr%E1%BA%A7n%20Ph%C3%BA%2C%20206%20Tr%E1%BA%A7n%20Ph%C3%BA%2C%20ph%C6%B0%E1%BB%9Dng%20B%C3%ACnh%20%C4%90%E1%BB%8Bnh%2C%20t%E1%BB%89nh%20Gia%20Lai" TargetMode="External"/><Relationship Id="rId241" Type="http://schemas.openxmlformats.org/officeDocument/2006/relationships/hyperlink" Target="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" TargetMode="External"/><Relationship Id="rId437" Type="http://schemas.openxmlformats.org/officeDocument/2006/relationships/hyperlink" Target="https://binhdinh.gialai.gov.vn/" TargetMode="External"/><Relationship Id="rId479" Type="http://schemas.openxmlformats.org/officeDocument/2006/relationships/hyperlink" Target="https://tinhthanhvn.com/bando/gia-lai/phuong-binh-dinh" TargetMode="External"/><Relationship Id="rId36" Type="http://schemas.openxmlformats.org/officeDocument/2006/relationships/hyperlink" Target="https://www.google.com/maps/search/?api=1&amp;query_place_id=ChIJz0OFATU_bzERgICoBQcHsoA" TargetMode="External"/><Relationship Id="rId283" Type="http://schemas.openxmlformats.org/officeDocument/2006/relationships/hyperlink" Target="https://www.google.com/maps/search/?api=1&amp;query_place_id=ChIJpV5JO0M9bzERBgNAVmviqYM" TargetMode="External"/><Relationship Id="rId339" Type="http://schemas.openxmlformats.org/officeDocument/2006/relationships/hyperlink" Target="https://www.google.com/maps/search/?api=1&amp;query_place_id=ChIJLbLP-nU_bzERLJs2Tn9W8Ok" TargetMode="External"/><Relationship Id="rId490" Type="http://schemas.openxmlformats.org/officeDocument/2006/relationships/hyperlink" Target="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" TargetMode="External"/><Relationship Id="rId78" Type="http://schemas.openxmlformats.org/officeDocument/2006/relationships/hyperlink" Target="https://www.google.com/maps/search/?api=1&amp;query=Nh%C3%A0%20V%C4%83n%20h%C3%B3a%20x%C3%A3%20Nh%C6%A1n%20Kh%C3%A1nh%20c%C5%A9%2C%20Khu%20v%E1%BB%B1c%20Nh%C6%A1n%20Kh%C3%A1nh%20c%C5%A9%2C%20ph%C6%B0%E1%BB%9Dng%20B%C3%ACnh%20%C4%90%E1%BB%8Bnh%2C%20t%E1%BB%89nh%20Gia%20Lai" TargetMode="External"/><Relationship Id="rId101" Type="http://schemas.openxmlformats.org/officeDocument/2006/relationships/hyperlink" Target="https://tinhthanhvn.com/bando/gia-lai/phuong-binh-dinh" TargetMode="External"/><Relationship Id="rId143" Type="http://schemas.openxmlformats.org/officeDocument/2006/relationships/hyperlink" Target="https://tinhthanhvn.com/bando/gia-lai/phuong-binh-dinh" TargetMode="External"/><Relationship Id="rId185" Type="http://schemas.openxmlformats.org/officeDocument/2006/relationships/hyperlink" Target="https://tinhthanhvn.com/bando/gia-lai/phuong-binh-dinh" TargetMode="External"/><Relationship Id="rId350" Type="http://schemas.openxmlformats.org/officeDocument/2006/relationships/hyperlink" Target="https://tinhthanhvn.com/bando/gia-lai/phuong-binh-dinh" TargetMode="External"/><Relationship Id="rId406" Type="http://schemas.openxmlformats.org/officeDocument/2006/relationships/hyperlink" Target="https://www.google.com/maps/search/?api=1&amp;query_place_id=ChIJB-TMFwA_bzERmr4BlrxA04s" TargetMode="External"/><Relationship Id="rId9" Type="http://schemas.openxmlformats.org/officeDocument/2006/relationships/hyperlink" Target="https://www.google.com/maps/search/?api=1&amp;query_place_id=ChIJAyUuOQAVbzER3m0lew4CZug" TargetMode="External"/><Relationship Id="rId210" Type="http://schemas.openxmlformats.org/officeDocument/2006/relationships/hyperlink" Target="https://www.google.com/maps/search/?api=1&amp;query_place_id=ChIJmVkNShw-bzERe2khdK_t_rk" TargetMode="External"/><Relationship Id="rId392" Type="http://schemas.openxmlformats.org/officeDocument/2006/relationships/hyperlink" Target="https://tinhthanhvn.com/bando/gia-lai/phuong-binh-dinh" TargetMode="External"/><Relationship Id="rId448" Type="http://schemas.openxmlformats.org/officeDocument/2006/relationships/hyperlink" Target="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" TargetMode="External"/><Relationship Id="rId252" Type="http://schemas.openxmlformats.org/officeDocument/2006/relationships/hyperlink" Target="https://www.google.com/maps/search/?api=1&amp;query=Nha%20Khoa%20%C4%90%C3%B4ng%20Nam%20%C3%81%2C%2084%20Tr%E1%BA%A7n%20Ph%C3%BA%2C%20ph%C6%B0%E1%BB%9Dng%20B%C3%ACnh%20%C4%90%E1%BB%8Bnh%2C%20t%E1%BB%89nh%20Gia%20Lai" TargetMode="External"/><Relationship Id="rId294" Type="http://schemas.openxmlformats.org/officeDocument/2006/relationships/hyperlink" Target="https://www.google.com/maps/search/?api=1&amp;query=ATM%20ACB%20An%20Nh%C6%A1n%2C%20303%20Tr%E1%BA%A7n%20Ph%C3%BA%2C%20ph%C6%B0%E1%BB%9Dng%20B%C3%ACnh%20%C4%90%E1%BB%8Bnh%2C%20t%E1%BB%89nh%20Gia%20Lai" TargetMode="External"/><Relationship Id="rId308" Type="http://schemas.openxmlformats.org/officeDocument/2006/relationships/hyperlink" Target="https://tinhthanhvn.com/bando/gia-lai/phuong-binh-dinh" TargetMode="External"/><Relationship Id="rId47" Type="http://schemas.openxmlformats.org/officeDocument/2006/relationships/hyperlink" Target="https://tinhthanhvn.com/bando/gia-lai/phuong-binh-dinh" TargetMode="External"/><Relationship Id="rId89" Type="http://schemas.openxmlformats.org/officeDocument/2006/relationships/hyperlink" Target="https://tinhthanhvn.com/bando/gia-lai/phuong-binh-dinh" TargetMode="External"/><Relationship Id="rId112" Type="http://schemas.openxmlformats.org/officeDocument/2006/relationships/hyperlink" Target="https://www.google.com/maps/search/?api=1&amp;query_place_id=ChIJSw3nL3s_bzER56X5hgP7ENc" TargetMode="External"/><Relationship Id="rId154" Type="http://schemas.openxmlformats.org/officeDocument/2006/relationships/hyperlink" Target="https://www.google.com/maps/search/?api=1&amp;query_place_id=ChIJcc5XqGg_bzERlq7bi0VFwnk" TargetMode="External"/><Relationship Id="rId361" Type="http://schemas.openxmlformats.org/officeDocument/2006/relationships/hyperlink" Target="https://www.google.com/maps/search/?api=1&amp;query_place_id=ChIJXSdHK14_bzERR32BjnaFQsk" TargetMode="External"/><Relationship Id="rId196" Type="http://schemas.openxmlformats.org/officeDocument/2006/relationships/hyperlink" Target="https://www.google.com/maps/search/?api=1&amp;query_place_id=ChIJm492JR0-bzER5Hy6QPe5GhE" TargetMode="External"/><Relationship Id="rId417" Type="http://schemas.openxmlformats.org/officeDocument/2006/relationships/hyperlink" Target="https://www.google.com/maps/search/?api=1&amp;query_place_id=ChIJ4QDl2B4-bzEREcKTBqnf83g" TargetMode="External"/><Relationship Id="rId459" Type="http://schemas.openxmlformats.org/officeDocument/2006/relationships/hyperlink" Target="https://www.google.com/maps/search/?api=1&amp;query=Tr%C6%B0%E1%BB%9Dng%20M%E1%BA%A7m%20non%20B%C3%ACnh%20%C4%90%E1%BB%8Bnh%2C%2034%20%C4%91%C6%B0%E1%BB%9Dng%2030%20Th%C3%A1ng%203%2C%20ph%C6%B0%E1%BB%9Dng%20B%C3%ACnh%20%C4%90%E1%BB%8Bnh%2C%20t%E1%BB%89nh%20Gia%20Lai" TargetMode="External"/><Relationship Id="rId16" Type="http://schemas.openxmlformats.org/officeDocument/2006/relationships/hyperlink" Target="https://congbao.gialai.gov.vn/congbao/congbao.nsf/70E7DA9FCA87F07B88258D96001301F5/$file/529_signed.pdf" TargetMode="External"/><Relationship Id="rId221" Type="http://schemas.openxmlformats.org/officeDocument/2006/relationships/hyperlink" Target="https://tinhthanhvn.com/bando/gia-lai/phuong-binh-dinh" TargetMode="External"/><Relationship Id="rId263" Type="http://schemas.openxmlformats.org/officeDocument/2006/relationships/hyperlink" Target="https://tinhthanhvn.com/bando/gia-lai/phuong-binh-dinh" TargetMode="External"/><Relationship Id="rId319" Type="http://schemas.openxmlformats.org/officeDocument/2006/relationships/hyperlink" Target="https://tinbds.com/gia-lai/phuong-binh-dinh" TargetMode="External"/><Relationship Id="rId470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58" Type="http://schemas.openxmlformats.org/officeDocument/2006/relationships/hyperlink" Target="https://baogialai.com.vn/tuong-nho-ton-vinh-thay-giao-hien-post423886.html" TargetMode="External"/><Relationship Id="rId123" Type="http://schemas.openxmlformats.org/officeDocument/2006/relationships/hyperlink" Target="https://www.google.com/maps/search/?api=1&amp;query_place_id=ChIJXVAK9hs-bzERpl-tSruQJeI" TargetMode="External"/><Relationship Id="rId330" Type="http://schemas.openxmlformats.org/officeDocument/2006/relationships/hyperlink" Target="https://www.google.com/maps/search/?api=1&amp;query=KienlongBank%20An%20Nh%C6%A1n%2C%20254%20Ng%C3%B4%20Gia%20T%E1%BB%B1%2C%20ph%C6%B0%E1%BB%9Dng%20B%C3%ACnh%20%C4%90%E1%BB%8Bnh%2C%20t%E1%BB%89nh%20Gia%20Lai" TargetMode="External"/><Relationship Id="rId165" Type="http://schemas.openxmlformats.org/officeDocument/2006/relationships/hyperlink" Target="https://www.google.com/maps/search/?api=1&amp;query=Qu%C3%A1n%202%20Kh%C3%A1nh%2C%2032%20%C4%90%C3%A0o%20Duy%20T%E1%BB%AB%2C%20ph%C6%B0%E1%BB%9Dng%20B%C3%ACnh%20%C4%90%E1%BB%8Bnh%2C%20t%E1%BB%89nh%20Gia%20Lai" TargetMode="External"/><Relationship Id="rId372" Type="http://schemas.openxmlformats.org/officeDocument/2006/relationships/hyperlink" Target="https://www.google.com/maps/search/?api=1&amp;query_place_id=ChIJW02Dw_kUbzERuHub-uQX7hQ" TargetMode="External"/><Relationship Id="rId428" Type="http://schemas.openxmlformats.org/officeDocument/2006/relationships/hyperlink" Target="https://binhdinh.gialai.gov.vn/" TargetMode="External"/><Relationship Id="rId232" Type="http://schemas.openxmlformats.org/officeDocument/2006/relationships/hyperlink" Target="https://www.google.com/maps/search/?api=1&amp;query_place_id=ChIJ5QgWqCk_bzERbH6hZp2nC20" TargetMode="External"/><Relationship Id="rId274" Type="http://schemas.openxmlformats.org/officeDocument/2006/relationships/hyperlink" Target="https://www.google.com/maps/search/?api=1&amp;query_place_id=ChIJdYqVm1vFaDERxQVvct4EjJk" TargetMode="External"/><Relationship Id="rId481" Type="http://schemas.openxmlformats.org/officeDocument/2006/relationships/hyperlink" Target="https://www.google.com/maps/search/?api=1&amp;query=Tr%C6%B0%E1%BB%9Dng%20Ti%E1%BB%83u%20h%E1%BB%8Dc%20Nh%C6%A1n%20Kh%C3%A1nh%2C%20V3R8%2B3XW%2C%20Kh%C3%A1nh%20H%C3%B2a%2C%20ph%C6%B0%E1%BB%9Dng%20B%C3%ACnh%20%C4%90%E1%BB%8Bnh%2C%20t%E1%BB%89nh%20Gia%20Lai" TargetMode="External"/><Relationship Id="rId27" Type="http://schemas.openxmlformats.org/officeDocument/2006/relationships/hyperlink" Target="https://www.google.com/maps/search/?api=1&amp;query=Ch%C3%B9a%20An%20H%C3%B2a%20%28Ch%C3%B9a%20B%C3%A0%20Tr%C6%B0%E1%BB%9Bc%29%2C%20Th%C3%B4n%20An%20Th%C3%A1i%2C%20ph%C6%B0%E1%BB%9Dng%20B%C3%ACnh%20%C4%90%E1%BB%8Bnh%2C%20t%E1%BB%89nh%20Gia%20Lai" TargetMode="External"/><Relationship Id="rId69" Type="http://schemas.openxmlformats.org/officeDocument/2006/relationships/hyperlink" Target="https://www.google.com/maps/search/?api=1&amp;query_place_id=ChIJT8ZqU_QVbzERt3PUFfz9qhc" TargetMode="External"/><Relationship Id="rId134" Type="http://schemas.openxmlformats.org/officeDocument/2006/relationships/hyperlink" Target="https://tinhthanhvn.com/bando/gia-lai/phuong-binh-dinh" TargetMode="External"/><Relationship Id="rId80" Type="http://schemas.openxmlformats.org/officeDocument/2006/relationships/hyperlink" Target="https://tinhthanhvn.com/bando/gia-lai/phuong-binh-dinh" TargetMode="External"/><Relationship Id="rId176" Type="http://schemas.openxmlformats.org/officeDocument/2006/relationships/hyperlink" Target="https://tinhthanhvn.com/bando/gia-lai/phuong-binh-dinh" TargetMode="External"/><Relationship Id="rId341" Type="http://schemas.openxmlformats.org/officeDocument/2006/relationships/hyperlink" Target="https://tinhthanhvn.com/bando/gia-lai/phuong-binh-dinh" TargetMode="External"/><Relationship Id="rId383" Type="http://schemas.openxmlformats.org/officeDocument/2006/relationships/hyperlink" Target="https://tinhthanhvn.com/bando/gia-lai/phuong-binh-dinh" TargetMode="External"/><Relationship Id="rId439" Type="http://schemas.openxmlformats.org/officeDocument/2006/relationships/hyperlink" Target="https://www.google.com/maps/search/?api=1&amp;query=M%E1%BA%A7m%20non%20Nh%C6%A1n%20Kh%C3%A1nh%20-%20%C4%91i%E1%BB%83m%20Quan%20Quang%2C%20Khu%20v%E1%BB%B1c%20Quan%20Quang%2C%20ph%C6%B0%E1%BB%9Dng%20B%C3%ACnh%20%C4%90%E1%BB%8Bnh%2C%20t%E1%BB%89nh%20Gia%20Lai" TargetMode="External"/><Relationship Id="rId201" Type="http://schemas.openxmlformats.org/officeDocument/2006/relationships/hyperlink" Target="https://www.google.com/maps/search/?api=1&amp;query=Billiards%20NT%20B%C3%ACnh%20%C4%90%E1%BB%8Bnh%2C%20V4Q2%2BFFX%2C%20ph%C6%B0%E1%BB%9Dng%20B%C3%ACnh%20%C4%90%E1%BB%8Bnh%2C%20t%E1%BB%89nh%20Gia%20Lai" TargetMode="External"/><Relationship Id="rId243" Type="http://schemas.openxmlformats.org/officeDocument/2006/relationships/hyperlink" Target="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" TargetMode="External"/><Relationship Id="rId285" Type="http://schemas.openxmlformats.org/officeDocument/2006/relationships/hyperlink" Target="https://www.google.com/maps/search/?api=1&amp;query_place_id=ChIJpV5JO0M9bzERBgNAVmviqYM" TargetMode="External"/><Relationship Id="rId450" Type="http://schemas.openxmlformats.org/officeDocument/2006/relationships/hyperlink" Target="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" TargetMode="External"/><Relationship Id="rId38" Type="http://schemas.openxmlformats.org/officeDocument/2006/relationships/hyperlink" Target="https://tinhthanhvn.com/bando/gia-lai/phuong-binh-dinh" TargetMode="External"/><Relationship Id="rId103" Type="http://schemas.openxmlformats.org/officeDocument/2006/relationships/hyperlink" Target="https://www.google.com/maps/search/?api=1&amp;query_place_id=ChIJe-f0UwY_bzERHt91NyNuOHc" TargetMode="External"/><Relationship Id="rId310" Type="http://schemas.openxmlformats.org/officeDocument/2006/relationships/hyperlink" Target="https://www.google.com/maps/search/?api=1&amp;query_place_id=ChIJz8tDnKc_bzERIOQhwWi6xfM" TargetMode="External"/><Relationship Id="rId492" Type="http://schemas.openxmlformats.org/officeDocument/2006/relationships/hyperlink" Target="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" TargetMode="External"/><Relationship Id="rId91" Type="http://schemas.openxmlformats.org/officeDocument/2006/relationships/hyperlink" Target="https://www.google.com.vn/travel/hotels/entity/ChoI17yi-pjmyOb2ARoNL2cvMTFwcjFtczFkMxAB" TargetMode="External"/><Relationship Id="rId145" Type="http://schemas.openxmlformats.org/officeDocument/2006/relationships/hyperlink" Target="https://www.google.com/maps/search/?api=1&amp;query_place_id=ChIJC9zs6Sw_bzERL9BXJGKTNwQ" TargetMode="External"/><Relationship Id="rId187" Type="http://schemas.openxmlformats.org/officeDocument/2006/relationships/hyperlink" Target="https://www.google.com/maps/search/?api=1&amp;query_place_id=ChIJk_G4DRc_bzERIX1AthXCpIc" TargetMode="External"/><Relationship Id="rId352" Type="http://schemas.openxmlformats.org/officeDocument/2006/relationships/hyperlink" Target="https://timbankvn.com/tim-chi-nhanh/vietcombank-pgd-an-nhon/" TargetMode="External"/><Relationship Id="rId394" Type="http://schemas.openxmlformats.org/officeDocument/2006/relationships/hyperlink" Target="https://www.google.com/maps/search/?api=1&amp;query=Viettel%20Telecom%20An%20Nh%C6%A1n%2C%20271%20Tr%E1%BA%A7n%20Ph%C3%BA%2C%20ph%C6%B0%E1%BB%9Dng%20B%C3%ACnh%20%C4%90%E1%BB%8Bnh%2C%20t%E1%BB%89nh%20Gia%20Lai" TargetMode="External"/><Relationship Id="rId408" Type="http://schemas.openxmlformats.org/officeDocument/2006/relationships/hyperlink" Target="https://www.google.com/maps/search/?api=1&amp;query_place_id=ChIJB-TMFwA_bzERmr4BlrxA04s" TargetMode="External"/><Relationship Id="rId212" Type="http://schemas.openxmlformats.org/officeDocument/2006/relationships/hyperlink" Target="https://tinhthanhvn.com/bando/gia-lai/phuong-binh-dinh" TargetMode="External"/><Relationship Id="rId254" Type="http://schemas.openxmlformats.org/officeDocument/2006/relationships/hyperlink" Target="https://tinhthanhvn.com/bando/gia-lai/phuong-binh-dinh" TargetMode="External"/><Relationship Id="rId49" Type="http://schemas.openxmlformats.org/officeDocument/2006/relationships/hyperlink" Target="https://www.google.com/maps/search/?api=1&amp;query_place_id=ChIJ3YnNnQo_bzEReHa0GsoIZBY" TargetMode="External"/><Relationship Id="rId114" Type="http://schemas.openxmlformats.org/officeDocument/2006/relationships/hyperlink" Target="https://www.google.com/maps/search/?api=1&amp;query_place_id=ChIJSw3nL3s_bzER56X5hgP7ENc" TargetMode="External"/><Relationship Id="rId296" Type="http://schemas.openxmlformats.org/officeDocument/2006/relationships/hyperlink" Target="https://tinhthanhvn.com/bando/gia-lai/phuong-binh-dinh" TargetMode="External"/><Relationship Id="rId461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60" Type="http://schemas.openxmlformats.org/officeDocument/2006/relationships/hyperlink" Target="https://www.google.com/maps/search/?api=1&amp;query=L%C3%A0ng%20v%C3%B5%20An%20Th%C3%A1i%2C%20Khu%20v%E1%BB%B1c%20An%20Th%C3%A1i%2C%20ph%C6%B0%E1%BB%9Dng%20B%C3%ACnh%20%C4%90%E1%BB%8Bnh%2C%20t%E1%BB%89nh%20Gia%20Lai" TargetMode="External"/><Relationship Id="rId156" Type="http://schemas.openxmlformats.org/officeDocument/2006/relationships/hyperlink" Target="https://www.google.com/maps/search/?api=1&amp;query_place_id=ChIJcc5XqGg_bzERlq7bi0VFwnk" TargetMode="External"/><Relationship Id="rId198" Type="http://schemas.openxmlformats.org/officeDocument/2006/relationships/hyperlink" Target="https://www.google.com/maps/search/?api=1&amp;query_place_id=ChIJm492JR0-bzER5Hy6QPe5GhE" TargetMode="External"/><Relationship Id="rId321" Type="http://schemas.openxmlformats.org/officeDocument/2006/relationships/hyperlink" Target="https://www.google.com/maps/search/?api=1&amp;query=ATM%20VPBank%20An%20Nh%C6%A1n%2C%2046%20Ng%C3%B4%20Gia%20T%E1%BB%B1%2C%20ph%C6%B0%E1%BB%9Dng%20B%C3%ACnh%20%C4%90%E1%BB%8Bnh%2C%20t%E1%BB%89nh%20Gia%20Lai" TargetMode="External"/><Relationship Id="rId363" Type="http://schemas.openxmlformats.org/officeDocument/2006/relationships/hyperlink" Target="https://www.google.com/maps/search/?api=1&amp;query_place_id=ChIJXSdHK14_bzERR32BjnaFQsk" TargetMode="External"/><Relationship Id="rId419" Type="http://schemas.openxmlformats.org/officeDocument/2006/relationships/hyperlink" Target="https://binhdinh.gialai.gov.vn/" TargetMode="External"/><Relationship Id="rId223" Type="http://schemas.openxmlformats.org/officeDocument/2006/relationships/hyperlink" Target="https://www.google.com/maps/search/?api=1&amp;query_place_id=ChIJA5nU9AI9bzERXaLFMyoZcq4" TargetMode="External"/><Relationship Id="rId430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18" Type="http://schemas.openxmlformats.org/officeDocument/2006/relationships/hyperlink" Target="https://www.google.com/maps/search/?api=1&amp;query=Ph%E1%BA%BF%20t%C3%ADch%20th%C3%A1p%20Th%C3%B4ng%20H%C3%B2a%2C%20Th%C3%B4n%20Th%C3%B4ng%20H%C3%B2a%2C%20ph%C6%B0%E1%BB%9Dng%20B%C3%ACnh%20%C4%90%E1%BB%8Bnh%2C%20t%E1%BB%89nh%20Gia%20Lai" TargetMode="External"/><Relationship Id="rId265" Type="http://schemas.openxmlformats.org/officeDocument/2006/relationships/hyperlink" Target="https://www.google.com/maps/search/?api=1&amp;query_place_id=ChIJtfF4eAA_bzERFzkhc7jjfME" TargetMode="External"/><Relationship Id="rId472" Type="http://schemas.openxmlformats.org/officeDocument/2006/relationships/hyperlink" Target="https://www.google.com/maps/search/?api=1&amp;query=Tr%C6%B0%E1%BB%9Dng%20THCS%20Nh%C6%A1n%20Ph%C3%BAc%2C%2035%20An%20Th%C3%A1i%201%2C%20ph%C6%B0%E1%BB%9Dng%20B%C3%ACnh%20%C4%90%E1%BB%8Bnh%2C%20t%E1%BB%89nh%20Gia%20Lai" TargetMode="External"/><Relationship Id="rId125" Type="http://schemas.openxmlformats.org/officeDocument/2006/relationships/hyperlink" Target="https://tinhthanhvn.com/bando/gia-lai/phuong-binh-dinh" TargetMode="External"/><Relationship Id="rId167" Type="http://schemas.openxmlformats.org/officeDocument/2006/relationships/hyperlink" Target="https://tinhthanhvn.com/bando/gia-lai/phuong-binh-dinh" TargetMode="External"/><Relationship Id="rId332" Type="http://schemas.openxmlformats.org/officeDocument/2006/relationships/hyperlink" Target="https://tinhthanhvn.com/bando/gia-lai/phuong-binh-dinh" TargetMode="External"/><Relationship Id="rId374" Type="http://schemas.openxmlformats.org/officeDocument/2006/relationships/hyperlink" Target="https://tinhthanhvn.com/bando/gia-lai/phuong-binh-dinh" TargetMode="External"/><Relationship Id="rId71" Type="http://schemas.openxmlformats.org/officeDocument/2006/relationships/hyperlink" Target="https://tinhthanhvn.com/bando/gia-lai/phuong-binh-dinh" TargetMode="External"/><Relationship Id="rId234" Type="http://schemas.openxmlformats.org/officeDocument/2006/relationships/hyperlink" Target="https://www.google.com/maps/search/?api=1&amp;query_place_id=ChIJ5QgWqCk_bzERbH6hZp2nC20" TargetMode="External"/><Relationship Id="rId2" Type="http://schemas.openxmlformats.org/officeDocument/2006/relationships/hyperlink" Target="https://tinhthanhvn.com/bando/gia-lai/phuong-binh-dinh" TargetMode="External"/><Relationship Id="rId29" Type="http://schemas.openxmlformats.org/officeDocument/2006/relationships/hyperlink" Target="https://tinhthanhvn.com/bando/gia-lai/phuong-binh-dinh" TargetMode="External"/><Relationship Id="rId276" Type="http://schemas.openxmlformats.org/officeDocument/2006/relationships/hyperlink" Target="https://www.google.com/maps/search/?api=1&amp;query_place_id=ChIJdYqVm1vFaDERxQVvct4EjJk" TargetMode="External"/><Relationship Id="rId441" Type="http://schemas.openxmlformats.org/officeDocument/2006/relationships/hyperlink" Target="https://www.google.com/maps/search/?api=1&amp;query=M%E1%BA%A7m%20non%20Nh%C6%A1n%20Kh%C3%A1nh%20-%20%C4%91i%E1%BB%83m%20Quan%20Quang%2C%20Khu%20v%E1%BB%B1c%20Quan%20Quang%2C%20ph%C6%B0%E1%BB%9Dng%20B%C3%ACnh%20%C4%90%E1%BB%8Bnh%2C%20t%E1%BB%89nh%20Gia%20Lai" TargetMode="External"/><Relationship Id="rId483" Type="http://schemas.openxmlformats.org/officeDocument/2006/relationships/hyperlink" Target="https://www.google.com/maps/search/?api=1&amp;query=Tr%C6%B0%E1%BB%9Dng%20Ti%E1%BB%83u%20h%E1%BB%8Dc%20Nh%C6%A1n%20Kh%C3%A1nh%2C%20V3R8%2B3XW%2C%20Kh%C3%A1nh%20H%C3%B2a%2C%20ph%C6%B0%E1%BB%9Dng%20B%C3%ACnh%20%C4%90%E1%BB%8Bnh%2C%20t%E1%BB%89nh%20Gia%20Lai" TargetMode="External"/><Relationship Id="rId40" Type="http://schemas.openxmlformats.org/officeDocument/2006/relationships/hyperlink" Target="https://baovanhoa.vn/van-hoa/toa-dam-khoi-phuc-le-hoi-do-gian-an-thai-101273.html" TargetMode="External"/><Relationship Id="rId136" Type="http://schemas.openxmlformats.org/officeDocument/2006/relationships/hyperlink" Target="https://www.google.com/maps/search/?api=1&amp;query_place_id=ChIJJ97Mxgo_bzER28p9Rh0CPrE" TargetMode="External"/><Relationship Id="rId178" Type="http://schemas.openxmlformats.org/officeDocument/2006/relationships/hyperlink" Target="https://www.google.com/maps/search/?api=1&amp;query_place_id=ChIJLfP4ZFg_bzERXPL4xNAiFXc" TargetMode="External"/><Relationship Id="rId301" Type="http://schemas.openxmlformats.org/officeDocument/2006/relationships/hyperlink" Target="https://tinbds.com/gia-lai/phuong-binh-dinh" TargetMode="External"/><Relationship Id="rId343" Type="http://schemas.openxmlformats.org/officeDocument/2006/relationships/hyperlink" Target="https://sotayvang.com/ngan-hang-chinh-sach-xa-hoi-thi-xa-an-nhon-vbsp-tt-binh-dinh/" TargetMode="External"/><Relationship Id="rId82" Type="http://schemas.openxmlformats.org/officeDocument/2006/relationships/hyperlink" Target="https://www.google.com/maps/search/?api=1&amp;query_place_id=ChIJ-cD1OQA9bzER3gc-xOtK6m4" TargetMode="External"/><Relationship Id="rId203" Type="http://schemas.openxmlformats.org/officeDocument/2006/relationships/hyperlink" Target="https://tinhthanhvn.com/bando/gia-lai/phuong-binh-dinh" TargetMode="External"/><Relationship Id="rId385" Type="http://schemas.openxmlformats.org/officeDocument/2006/relationships/hyperlink" Target="https://www.google.com/maps/search/?api=1&amp;query_place_id=ChIJ0yputWg9bzERsJqkSfWiMzY" TargetMode="External"/><Relationship Id="rId245" Type="http://schemas.openxmlformats.org/officeDocument/2006/relationships/hyperlink" Target="https://tinhthanhvn.com/bando/gia-lai/phuong-binh-dinh" TargetMode="External"/><Relationship Id="rId287" Type="http://schemas.openxmlformats.org/officeDocument/2006/relationships/hyperlink" Target="https://tinhthanhvn.com/bando/gia-lai/phuong-binh-dinh" TargetMode="External"/><Relationship Id="rId410" Type="http://schemas.openxmlformats.org/officeDocument/2006/relationships/hyperlink" Target="https://tinhthanhvn.com/bando/gia-lai/phuong-binh-dinh" TargetMode="External"/><Relationship Id="rId452" Type="http://schemas.openxmlformats.org/officeDocument/2006/relationships/hyperlink" Target="https://tinhthanhvn.com/bando/gia-lai/phuong-binh-dinh" TargetMode="External"/><Relationship Id="rId494" Type="http://schemas.openxmlformats.org/officeDocument/2006/relationships/hyperlink" Target="https://tinhthanhvn.com/bando/gia-lai/phuong-binh-dinh" TargetMode="External"/><Relationship Id="rId105" Type="http://schemas.openxmlformats.org/officeDocument/2006/relationships/hyperlink" Target="https://www.google.com/maps/search/?api=1&amp;query_place_id=ChIJe-f0UwY_bzERHt91NyNuOHc" TargetMode="External"/><Relationship Id="rId147" Type="http://schemas.openxmlformats.org/officeDocument/2006/relationships/hyperlink" Target="https://www.google.com/maps/search/?api=1&amp;query_place_id=ChIJC9zs6Sw_bzERL9BXJGKTNwQ" TargetMode="External"/><Relationship Id="rId312" Type="http://schemas.openxmlformats.org/officeDocument/2006/relationships/hyperlink" Target="https://www.google.com/maps/search/?api=1&amp;query_place_id=ChIJz8tDnKc_bzERIOQhwWi6xfM" TargetMode="External"/><Relationship Id="rId354" Type="http://schemas.openxmlformats.org/officeDocument/2006/relationships/hyperlink" Target="https://www.google.com/maps/search/?api=1&amp;query_place_id=ChIJy5NVKBk-bzERIvLzR-FV8nc" TargetMode="External"/><Relationship Id="rId51" Type="http://schemas.openxmlformats.org/officeDocument/2006/relationships/hyperlink" Target="https://www.google.com/maps/search/?api=1&amp;query_place_id=ChIJ3YnNnQo_bzEReHa0GsoIZBY" TargetMode="External"/><Relationship Id="rId93" Type="http://schemas.openxmlformats.org/officeDocument/2006/relationships/hyperlink" Target="https://www.google.com/maps/search/?api=1&amp;query_place_id=ChIJ30Hzth8-bzERV55IjzEjzfY" TargetMode="External"/><Relationship Id="rId189" Type="http://schemas.openxmlformats.org/officeDocument/2006/relationships/hyperlink" Target="https://www.google.com/maps/search/?api=1&amp;query_place_id=ChIJk_G4DRc_bzERIX1AthXCpIc" TargetMode="External"/><Relationship Id="rId396" Type="http://schemas.openxmlformats.org/officeDocument/2006/relationships/hyperlink" Target="https://www.google.com/maps/search/?api=1&amp;query=Viettel%20Telecom%20An%20Nh%C6%A1n%2C%20271%20Tr%E1%BA%A7n%20Ph%C3%BA%2C%20ph%C6%B0%E1%BB%9Dng%20B%C3%ACnh%20%C4%90%E1%BB%8Bnh%2C%20t%E1%BB%89nh%20Gia%20Lai" TargetMode="External"/><Relationship Id="rId214" Type="http://schemas.openxmlformats.org/officeDocument/2006/relationships/hyperlink" Target="https://www.google.com/maps/search/?api=1&amp;query=Karaoke%20Bin%20Bin%2C%20135%20Thanh%20Ni%C3%AAn%2C%20ph%C6%B0%E1%BB%9Dng%20B%C3%ACnh%20%C4%90%E1%BB%8Bnh%2C%20t%E1%BB%89nh%20Gia%20Lai" TargetMode="External"/><Relationship Id="rId256" Type="http://schemas.openxmlformats.org/officeDocument/2006/relationships/hyperlink" Target="https://www.google.com/maps/search/?api=1&amp;query=Nha%20khoa%20T%C3%A2m%20Ph%C3%BAc%2C%2018%20L%C3%AA%20H%E1%BB%93ng%20Phong%2C%20ph%C6%B0%E1%BB%9Dng%20B%C3%ACnh%20%C4%90%E1%BB%8Bnh%2C%20t%E1%BB%89nh%20Gia%20Lai" TargetMode="External"/><Relationship Id="rId298" Type="http://schemas.openxmlformats.org/officeDocument/2006/relationships/hyperlink" Target="https://tinbds.com/gia-lai/phuong-binh-dinh" TargetMode="External"/><Relationship Id="rId421" Type="http://schemas.openxmlformats.org/officeDocument/2006/relationships/hyperlink" Target="https://www.google.com/maps/search/?api=1&amp;query=Kho%20b%E1%BA%A1c%20Nh%C3%A0%20n%C6%B0%E1%BB%9Bc%20An%20Nh%C6%A1n%2C%20542%20Tr%E1%BA%A7n%20Ph%C3%BA%2C%20ph%C6%B0%E1%BB%9Dng%20B%C3%ACnh%20%C4%90%E1%BB%8Bnh%2C%20t%E1%BB%89nh%20Gia%20Lai" TargetMode="External"/><Relationship Id="rId463" Type="http://schemas.openxmlformats.org/officeDocument/2006/relationships/hyperlink" Target="https://www.google.com/maps/search/?api=1&amp;query=Tr%C6%B0%E1%BB%9Dng%20M%E1%BA%A7m%20non%20Nh%C6%A1n%20Ph%C3%BAc%2C%20W249%2B8HX%2C%20th%C3%B4n%20An%20Th%C3%A1i%2C%20ph%C6%B0%E1%BB%9Dng%20B%C3%ACnh%20%C4%90%E1%BB%8Bnh%2C%20t%E1%BB%89nh%20Gia%20Lai" TargetMode="External"/><Relationship Id="rId116" Type="http://schemas.openxmlformats.org/officeDocument/2006/relationships/hyperlink" Target="https://tinhthanhvn.com/bando/gia-lai/phuong-binh-dinh" TargetMode="External"/><Relationship Id="rId158" Type="http://schemas.openxmlformats.org/officeDocument/2006/relationships/hyperlink" Target="https://tinhthanhvn.com/bando/gia-lai/phuong-binh-dinh" TargetMode="External"/><Relationship Id="rId323" Type="http://schemas.openxmlformats.org/officeDocument/2006/relationships/hyperlink" Target="https://sotayvang.com/pgd-an-nhon-cn-phu-tai-ngan-hang-tmcp-dau-tu-phat-trien-viet-nam-bidv-tt-binh-dinh/" TargetMode="External"/><Relationship Id="rId20" Type="http://schemas.openxmlformats.org/officeDocument/2006/relationships/hyperlink" Target="https://tinhthanhvn.com/bando/gia-lai/phuong-binh-dinh" TargetMode="External"/><Relationship Id="rId62" Type="http://schemas.openxmlformats.org/officeDocument/2006/relationships/hyperlink" Target="https://tinhthanhvn.com/bando/gia-lai/phuong-binh-dinh" TargetMode="External"/><Relationship Id="rId365" Type="http://schemas.openxmlformats.org/officeDocument/2006/relationships/hyperlink" Target="https://tinhthanhvn.com/bando/gia-lai/phuong-binh-dinh" TargetMode="External"/><Relationship Id="rId190" Type="http://schemas.openxmlformats.org/officeDocument/2006/relationships/hyperlink" Target="https://www.google.com/maps/search/?api=1&amp;query_place_id=ChIJLcnfsRY_bzERSYVViKrtYWo" TargetMode="External"/><Relationship Id="rId204" Type="http://schemas.openxmlformats.org/officeDocument/2006/relationships/hyperlink" Target="https://www.google.com/maps/search/?api=1&amp;query_place_id=ChIJ86BCA_cVbzERB3oi0LU-hHQ" TargetMode="External"/><Relationship Id="rId225" Type="http://schemas.openxmlformats.org/officeDocument/2006/relationships/hyperlink" Target="https://www.google.com/maps/search/?api=1&amp;query_place_id=ChIJA5nU9AI9bzERXaLFMyoZcq4" TargetMode="External"/><Relationship Id="rId246" Type="http://schemas.openxmlformats.org/officeDocument/2006/relationships/hyperlink" Target="https://www.google.com/maps/search/?api=1&amp;query=Won%20Sport%20Billiards%20Club%2C%20%C4%90%C6%B0%E1%BB%9Dng%20Nguy%E1%BB%85n%20Sinh%20S%E1%BA%AFc%2C%20Khu%20B%E1%BA%AFc%20S%C3%B4ng%2C%20ph%C6%B0%E1%BB%9Dng%20B%C3%ACnh%20%C4%90%E1%BB%8Bnh%2C%20t%E1%BB%89nh%20Gia%20Lai" TargetMode="External"/><Relationship Id="rId267" Type="http://schemas.openxmlformats.org/officeDocument/2006/relationships/hyperlink" Target="https://www.google.com/maps/search/?api=1&amp;query_place_id=ChIJtfF4eAA_bzERFzkhc7jjfME" TargetMode="External"/><Relationship Id="rId288" Type="http://schemas.openxmlformats.org/officeDocument/2006/relationships/hyperlink" Target="https://www.google.com/maps/search/?api=1&amp;query_place_id=ChIJh4yDumU_bzERLpSPtLTkJC0" TargetMode="External"/><Relationship Id="rId411" Type="http://schemas.openxmlformats.org/officeDocument/2006/relationships/hyperlink" Target="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" TargetMode="External"/><Relationship Id="rId432" Type="http://schemas.openxmlformats.org/officeDocument/2006/relationships/hyperlink" Target="https://www.google.com/maps/search/?api=1&amp;query=Trung%20t%C3%A2m%20ph%E1%BB%A5c%20v%E1%BB%A5%20h%C3%A0nh%20ch%C3%ADnh%20c%C3%B4ng%20ph%C6%B0%E1%BB%9Dng%20B%C3%ACnh%20%C4%90%E1%BB%8Bnh%2C%2079%20L%C3%AA%20H%E1%BB%93ng%20Phong%2C%20Ph%C6%B0%E1%BB%9Dng%20B%C3%ACnh%20%C4%90%E1%BB%8Bnh%2C%20T%E1%BB%89nh%20Gia%20Lai" TargetMode="External"/><Relationship Id="rId453" Type="http://schemas.openxmlformats.org/officeDocument/2006/relationships/hyperlink" Target="https://www.google.com/maps/search/?api=1&amp;query=Trung%20t%C3%A2m%20GDNN-GDTX%20An%20Nh%C6%A1n%2C%2031%20Tr%E1%BA%A7n%20Th%E1%BB%8B%20K%E1%BB%B7%2C%20ph%C6%B0%E1%BB%9Dng%20B%C3%ACnh%20%C4%90%E1%BB%8Bnh%2C%20t%E1%BB%89nh%20Gia%20Lai" TargetMode="External"/><Relationship Id="rId474" Type="http://schemas.openxmlformats.org/officeDocument/2006/relationships/hyperlink" Target="https://www.google.com/maps/search/?api=1&amp;query=Tr%C6%B0%E1%BB%9Dng%20THCS%20Nh%C6%A1n%20Ph%C3%BAc%2C%2035%20An%20Th%C3%A1i%201%2C%20ph%C6%B0%E1%BB%9Dng%20B%C3%ACnh%20%C4%90%E1%BB%8Bnh%2C%20t%E1%BB%89nh%20Gia%20Lai" TargetMode="External"/><Relationship Id="rId106" Type="http://schemas.openxmlformats.org/officeDocument/2006/relationships/hyperlink" Target="https://www.google.com/maps/search/?api=1&amp;query_place_id=ChIJgycv4a4VbzERKMh-YFjTEPk" TargetMode="External"/><Relationship Id="rId127" Type="http://schemas.openxmlformats.org/officeDocument/2006/relationships/hyperlink" Target="https://www.google.com/maps/search/?api=1&amp;query=Cafe%20An%20Th%C3%A1i%2C%20W25C%2BGMQ%2C%20An%20Th%C3%A1i%2C%20ph%C6%B0%E1%BB%9Dng%20B%C3%ACnh%20%C4%90%E1%BB%8Bnh%2C%20t%E1%BB%89nh%20Gia%20Lai" TargetMode="External"/><Relationship Id="rId313" Type="http://schemas.openxmlformats.org/officeDocument/2006/relationships/hyperlink" Target="https://tinbds.com/gia-lai/phuong-binh-dinh" TargetMode="External"/><Relationship Id="rId495" Type="http://schemas.openxmlformats.org/officeDocument/2006/relationships/hyperlink" Target="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" TargetMode="External"/><Relationship Id="rId10" Type="http://schemas.openxmlformats.org/officeDocument/2006/relationships/hyperlink" Target="https://binhdinh.gov.vn/upload/2005340/20231212/4420_qd_2023_72af7.pdf" TargetMode="External"/><Relationship Id="rId31" Type="http://schemas.openxmlformats.org/officeDocument/2006/relationships/hyperlink" Target="https://www.google.com/maps/search/?api=1&amp;query_place_id=ChIJAR3qIuw9bzERD51dugj530Q" TargetMode="External"/><Relationship Id="rId52" Type="http://schemas.openxmlformats.org/officeDocument/2006/relationships/hyperlink" Target="https://www.google.com/maps/search/?api=1&amp;query_place_id=ChIJy-lGKgA9bzERLue_BuXaXZs" TargetMode="External"/><Relationship Id="rId73" Type="http://schemas.openxmlformats.org/officeDocument/2006/relationships/hyperlink" Target="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" TargetMode="External"/><Relationship Id="rId94" Type="http://schemas.openxmlformats.org/officeDocument/2006/relationships/hyperlink" Target="https://www.google.com/maps/search/?api=1&amp;query_place_id=ChIJo4MuU789bzERTxonaVU4jAw" TargetMode="External"/><Relationship Id="rId148" Type="http://schemas.openxmlformats.org/officeDocument/2006/relationships/hyperlink" Target="https://www.google.com/maps/search/?api=1&amp;query_place_id=ChIJCarclYsVbzERpfc1hLpm4XQ" TargetMode="External"/><Relationship Id="rId169" Type="http://schemas.openxmlformats.org/officeDocument/2006/relationships/hyperlink" Target="https://www.google.com/maps/search/?api=1&amp;query_place_id=ChIJ5asymUI_bzERbSZTeV0r1iU" TargetMode="External"/><Relationship Id="rId334" Type="http://schemas.openxmlformats.org/officeDocument/2006/relationships/hyperlink" Target="https://tinbds.com/gia-lai/phuong-binh-dinh" TargetMode="External"/><Relationship Id="rId355" Type="http://schemas.openxmlformats.org/officeDocument/2006/relationships/hyperlink" Target="https://tinbds.com/gia-lai/phuong-binh-dinh" TargetMode="External"/><Relationship Id="rId376" Type="http://schemas.openxmlformats.org/officeDocument/2006/relationships/hyperlink" Target="https://www.google.com/maps/search/?api=1&amp;query=Si%C3%AAu%20th%E1%BB%8B%20Nh%C3%A0%20s%C3%A1ch%20B%C3%ACnh%20%C4%90%E1%BB%8Bnh%2C%20V4Q7%2BR4C%2C%20Tr%E1%BA%A7n%20Ph%C3%BA%2C%20ph%C6%B0%E1%BB%9Dng%20B%C3%ACnh%20%C4%90%E1%BB%8Bnh%2C%20t%E1%BB%89nh%20Gia%20Lai" TargetMode="External"/><Relationship Id="rId397" Type="http://schemas.openxmlformats.org/officeDocument/2006/relationships/hyperlink" Target="https://www.google.com/maps/search/?api=1&amp;query=VNPT%20An%20Nh%C6%A1n%2C%20229%20Tr%E1%BA%A7n%20Ph%C3%BA%2C%20ph%C6%B0%E1%BB%9Dng%20B%C3%ACnh%20%C4%90%E1%BB%8Bnh%2C%20t%E1%BB%89nh%20Gia%20Lai" TargetMode="External"/><Relationship Id="rId4" Type="http://schemas.openxmlformats.org/officeDocument/2006/relationships/hyperlink" Target="https://congbao.gialai.gov.vn/congbao/congbao.nsf/70E7DA9FCA87F07B88258D96001301F5/$file/529_signed.pdf" TargetMode="External"/><Relationship Id="rId180" Type="http://schemas.openxmlformats.org/officeDocument/2006/relationships/hyperlink" Target="https://www.google.com/maps/search/?api=1&amp;query_place_id=ChIJLfP4ZFg_bzERXPL4xNAiFXc" TargetMode="External"/><Relationship Id="rId215" Type="http://schemas.openxmlformats.org/officeDocument/2006/relationships/hyperlink" Target="https://tinhthanhvn.com/bando/gia-lai/phuong-binh-dinh" TargetMode="External"/><Relationship Id="rId236" Type="http://schemas.openxmlformats.org/officeDocument/2006/relationships/hyperlink" Target="https://tinhthanhvn.com/bando/gia-lai/phuong-binh-dinh" TargetMode="External"/><Relationship Id="rId257" Type="http://schemas.openxmlformats.org/officeDocument/2006/relationships/hyperlink" Target="https://tinhthanhvn.com/bando/gia-lai/phuong-binh-dinh" TargetMode="External"/><Relationship Id="rId278" Type="http://schemas.openxmlformats.org/officeDocument/2006/relationships/hyperlink" Target="https://tinhthanhvn.com/bando/gia-lai/phuong-binh-dinh" TargetMode="External"/><Relationship Id="rId401" Type="http://schemas.openxmlformats.org/officeDocument/2006/relationships/hyperlink" Target="https://binhdinh.gialai.gov.vn/" TargetMode="External"/><Relationship Id="rId422" Type="http://schemas.openxmlformats.org/officeDocument/2006/relationships/hyperlink" Target="https://tinhthanhvn.com/bando/gia-lai/phuong-binh-dinh" TargetMode="External"/><Relationship Id="rId443" Type="http://schemas.openxmlformats.org/officeDocument/2006/relationships/hyperlink" Target="https://tinhthanhvn.com/bando/gia-lai/phuong-binh-dinh" TargetMode="External"/><Relationship Id="rId464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303" Type="http://schemas.openxmlformats.org/officeDocument/2006/relationships/hyperlink" Target="https://www.google.com/maps/search/?api=1&amp;query=ATM%20BIDV%20An%20Nh%C6%A1n%2C%20220%20Tr%E1%BA%A7n%20Ph%C3%BA%2C%20ph%C6%B0%E1%BB%9Dng%20B%C3%ACnh%20%C4%90%E1%BB%8Bnh%2C%20t%E1%BB%89nh%20Gia%20Lai" TargetMode="External"/><Relationship Id="rId485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42" Type="http://schemas.openxmlformats.org/officeDocument/2006/relationships/hyperlink" Target="https://www.google.com/maps/search/?api=1&amp;query=Ch%C3%B9a%20%C3%94ng%20An%20Th%C3%A1i%2C%20Th%C3%B4n%20An%20Th%C3%A1i%2C%20ph%C6%B0%E1%BB%9Dng%20B%C3%ACnh%20%C4%90%E1%BB%8Bnh%2C%20t%E1%BB%89nh%20Gia%20Lai" TargetMode="External"/><Relationship Id="rId84" Type="http://schemas.openxmlformats.org/officeDocument/2006/relationships/hyperlink" Target="https://www.google.com/maps/search/?api=1&amp;query_place_id=ChIJ-cD1OQA9bzER3gc-xOtK6m4" TargetMode="External"/><Relationship Id="rId138" Type="http://schemas.openxmlformats.org/officeDocument/2006/relationships/hyperlink" Target="https://www.google.com/maps/search/?api=1&amp;query_place_id=ChIJJ97Mxgo_bzER28p9Rh0CPrE" TargetMode="External"/><Relationship Id="rId345" Type="http://schemas.openxmlformats.org/officeDocument/2006/relationships/hyperlink" Target="https://www.google.com/maps/search/?api=1&amp;query_place_id=ChIJlXuEfPUVbzEREu9hZPILlrI" TargetMode="External"/><Relationship Id="rId387" Type="http://schemas.openxmlformats.org/officeDocument/2006/relationships/hyperlink" Target="https://www.google.com/maps/search/?api=1&amp;query_place_id=ChIJ0yputWg9bzERsJqkSfWiMzY" TargetMode="External"/><Relationship Id="rId191" Type="http://schemas.openxmlformats.org/officeDocument/2006/relationships/hyperlink" Target="https://tinhthanhvn.com/bando/gia-lai/phuong-binh-dinh" TargetMode="External"/><Relationship Id="rId205" Type="http://schemas.openxmlformats.org/officeDocument/2006/relationships/hyperlink" Target="https://www.google.com/maps/search/?api=1&amp;query=C%C3%B4ng%20vi%C3%AAn%20ph%E1%BB%91%20ch%E1%BB%A3%20An%20Nh%C6%A1n%2C%20V4R4%2B48H%2C%20ph%C6%B0%E1%BB%9Dng%20B%C3%ACnh%20%C4%90%E1%BB%8Bnh%2C%20t%E1%BB%89nh%20Gia%20Lai" TargetMode="External"/><Relationship Id="rId247" Type="http://schemas.openxmlformats.org/officeDocument/2006/relationships/hyperlink" Target="https://www.google.com/maps/search/?api=1&amp;query_place_id=ChIJQ9cM_R4-bzERK3mAAotoPxc" TargetMode="External"/><Relationship Id="rId412" Type="http://schemas.openxmlformats.org/officeDocument/2006/relationships/hyperlink" Target="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" TargetMode="External"/><Relationship Id="rId107" Type="http://schemas.openxmlformats.org/officeDocument/2006/relationships/hyperlink" Target="https://tinhthanhvn.com/bando/gia-lai/phuong-binh-dinh" TargetMode="External"/><Relationship Id="rId289" Type="http://schemas.openxmlformats.org/officeDocument/2006/relationships/hyperlink" Target="https://tinbds.com/gia-lai/phuong-binh-dinh" TargetMode="External"/><Relationship Id="rId454" Type="http://schemas.openxmlformats.org/officeDocument/2006/relationships/hyperlink" Target="https://www.google.com/maps/search/?api=1&amp;query=Trung%20t%C3%A2m%20Ph%C3%A1t%20tri%E1%BB%83n%20gi%C3%A1o%20d%E1%BB%A5c%20%C3%81nh%20D%C6%B0%C6%A1ng%2C%2002%20Ch%E1%BA%BF%20Lan%20Vi%C3%AAn%2C%20ph%C6%B0%E1%BB%9Dng%20B%C3%ACnh%20%C4%90%E1%BB%8Bnh%2C%20t%E1%BB%89nh%20Gia%20Lai" TargetMode="External"/><Relationship Id="rId11" Type="http://schemas.openxmlformats.org/officeDocument/2006/relationships/hyperlink" Target="https://baogialai.com.vn/tuong-nho-ton-vinh-thay-giao-hien-post423886.html" TargetMode="External"/><Relationship Id="rId53" Type="http://schemas.openxmlformats.org/officeDocument/2006/relationships/hyperlink" Target="https://tinhthanhvn.com/bando/gia-lai/phuong-binh-dinh" TargetMode="External"/><Relationship Id="rId149" Type="http://schemas.openxmlformats.org/officeDocument/2006/relationships/hyperlink" Target="https://tinhthanhvn.com/bando/gia-lai/phuong-binh-dinh" TargetMode="External"/><Relationship Id="rId314" Type="http://schemas.openxmlformats.org/officeDocument/2006/relationships/hyperlink" Target="https://tinhthanhvn.com/bando/gia-lai/phuong-binh-dinh" TargetMode="External"/><Relationship Id="rId356" Type="http://schemas.openxmlformats.org/officeDocument/2006/relationships/hyperlink" Target="https://tinhthanhvn.com/bando/gia-lai/phuong-binh-dinh" TargetMode="External"/><Relationship Id="rId398" Type="http://schemas.openxmlformats.org/officeDocument/2006/relationships/hyperlink" Target="https://tinhthanhvn.com/bando/gia-lai/phuong-binh-dinh" TargetMode="External"/><Relationship Id="rId95" Type="http://schemas.openxmlformats.org/officeDocument/2006/relationships/hyperlink" Target="https://tinhthanhvn.com/bando/gia-lai/phuong-binh-dinh" TargetMode="External"/><Relationship Id="rId160" Type="http://schemas.openxmlformats.org/officeDocument/2006/relationships/hyperlink" Target="https://www.google.com/maps/search/?api=1&amp;query=PH%E1%BB%9E%20TI%E1%BB%80N%2C%20134%20Tr%E1%BA%A7n%20Ph%C3%BA%2C%20ph%C6%B0%E1%BB%9Dng%20B%C3%ACnh%20%C4%90%E1%BB%8Bnh%2C%20t%E1%BB%89nh%20Gia%20Lai" TargetMode="External"/><Relationship Id="rId216" Type="http://schemas.openxmlformats.org/officeDocument/2006/relationships/hyperlink" Target="https://www.google.com/maps/search/?api=1&amp;query=Karaoke%20Bin%20Bin%2C%20135%20Thanh%20Ni%C3%AAn%2C%20ph%C6%B0%E1%BB%9Dng%20B%C3%ACnh%20%C4%90%E1%BB%8Bnh%2C%20t%E1%BB%89nh%20Gia%20Lai" TargetMode="External"/><Relationship Id="rId423" Type="http://schemas.openxmlformats.org/officeDocument/2006/relationships/hyperlink" Target="https://www.google.com/maps/search/?api=1&amp;query=Kho%20b%E1%BA%A1c%20Nh%C3%A0%20n%C6%B0%E1%BB%9Bc%20An%20Nh%C6%A1n%2C%20542%20Tr%E1%BA%A7n%20Ph%C3%BA%2C%20ph%C6%B0%E1%BB%9Dng%20B%C3%ACnh%20%C4%90%E1%BB%8Bnh%2C%20t%E1%BB%89nh%20Gia%20Lai" TargetMode="External"/><Relationship Id="rId258" Type="http://schemas.openxmlformats.org/officeDocument/2006/relationships/hyperlink" Target="https://www.google.com/maps/search/?api=1&amp;query=Nha%20khoa%20T%C3%A2m%20Ph%C3%BAc%2C%2018%20L%C3%AA%20H%E1%BB%93ng%20Phong%2C%20ph%C6%B0%E1%BB%9Dng%20B%C3%ACnh%20%C4%90%E1%BB%8Bnh%2C%20t%E1%BB%89nh%20Gia%20Lai" TargetMode="External"/><Relationship Id="rId465" Type="http://schemas.openxmlformats.org/officeDocument/2006/relationships/hyperlink" Target="https://www.google.com/maps/search/?api=1&amp;query=Tr%C6%B0%E1%BB%9Dng%20M%E1%BA%A7m%20non%20Nh%C6%A1n%20Ph%C3%BAc%2C%20W249%2B8HX%2C%20th%C3%B4n%20An%20Th%C3%A1i%2C%20ph%C6%B0%E1%BB%9Dng%20B%C3%ACnh%20%C4%90%E1%BB%8Bnh%2C%20t%E1%BB%89nh%20Gia%20Lai" TargetMode="External"/><Relationship Id="rId22" Type="http://schemas.openxmlformats.org/officeDocument/2006/relationships/hyperlink" Target="https://congbao.gialai.gov.vn/congbao/congbao.nsf/70E7DA9FCA87F07B88258D96001301F5/$file/529_signed.pdf" TargetMode="External"/><Relationship Id="rId64" Type="http://schemas.openxmlformats.org/officeDocument/2006/relationships/hyperlink" Target="https://www.google.com/maps/search/?api=1&amp;query_place_id=ChIJB8NNMns9bzERZ5fEAwDa_w0" TargetMode="External"/><Relationship Id="rId118" Type="http://schemas.openxmlformats.org/officeDocument/2006/relationships/hyperlink" Target="https://www.google.com/maps/search/?api=1&amp;query_place_id=ChIJoQmuTfg_bzERxpzhzqiPmCE" TargetMode="External"/><Relationship Id="rId325" Type="http://schemas.openxmlformats.org/officeDocument/2006/relationships/hyperlink" Target="https://hdbank.com.vn/vi/contact" TargetMode="External"/><Relationship Id="rId367" Type="http://schemas.openxmlformats.org/officeDocument/2006/relationships/hyperlink" Target="https://www.google.com/maps/search/?api=1&amp;query_place_id=ChIJxUuoyo49bzERnrv3IREG8vE" TargetMode="External"/><Relationship Id="rId171" Type="http://schemas.openxmlformats.org/officeDocument/2006/relationships/hyperlink" Target="https://www.google.com/maps/search/?api=1&amp;query_place_id=ChIJ5asymUI_bzERbSZTeV0r1iU" TargetMode="External"/><Relationship Id="rId227" Type="http://schemas.openxmlformats.org/officeDocument/2006/relationships/hyperlink" Target="https://tinhthanhvn.com/bando/gia-lai/phuong-binh-dinh" TargetMode="External"/><Relationship Id="rId269" Type="http://schemas.openxmlformats.org/officeDocument/2006/relationships/hyperlink" Target="https://tinhthanhvn.com/bando/gia-lai/phuong-binh-dinh" TargetMode="External"/><Relationship Id="rId434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476" Type="http://schemas.openxmlformats.org/officeDocument/2006/relationships/hyperlink" Target="https://tinhthanhvn.com/bando/gia-lai/phuong-binh-dinh" TargetMode="External"/><Relationship Id="rId33" Type="http://schemas.openxmlformats.org/officeDocument/2006/relationships/hyperlink" Target="https://www.google.com/maps/search/?api=1&amp;query_place_id=ChIJAR3qIuw9bzERD51dugj530Q" TargetMode="External"/><Relationship Id="rId129" Type="http://schemas.openxmlformats.org/officeDocument/2006/relationships/hyperlink" Target="https://www.google.com/maps/search/?api=1&amp;query=Cafe%20An%20Th%C3%A1i%2C%20W25C%2BGMQ%2C%20An%20Th%C3%A1i%2C%20ph%C6%B0%E1%BB%9Dng%20B%C3%ACnh%20%C4%90%E1%BB%8Bnh%2C%20t%E1%BB%89nh%20Gia%20Lai" TargetMode="External"/><Relationship Id="rId280" Type="http://schemas.openxmlformats.org/officeDocument/2006/relationships/hyperlink" Target="https://www.google.com/maps/search/?api=1&amp;query_place_id=ChIJGQUDOoY9bzERBPfOZWh3Yko" TargetMode="External"/><Relationship Id="rId336" Type="http://schemas.openxmlformats.org/officeDocument/2006/relationships/hyperlink" Target="https://www.google.com/maps/search/?api=1&amp;query=LPBank%20PGD%20B%C6%B0u%20%C4%91i%E1%BB%87n%20An%20Nh%C6%A1n%2C%20397%20Tr%E1%BA%A7n%20Ph%C3%BA%2C%20ph%C6%B0%E1%BB%9Dng%20B%C3%ACnh%20%C4%90%E1%BB%8Bnh%2C%20t%E1%BB%89nh%20Gia%20Lai" TargetMode="External"/><Relationship Id="rId75" Type="http://schemas.openxmlformats.org/officeDocument/2006/relationships/hyperlink" Target="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" TargetMode="External"/><Relationship Id="rId140" Type="http://schemas.openxmlformats.org/officeDocument/2006/relationships/hyperlink" Target="https://tinhthanhvn.com/bando/gia-lai/phuong-binh-dinh" TargetMode="External"/><Relationship Id="rId182" Type="http://schemas.openxmlformats.org/officeDocument/2006/relationships/hyperlink" Target="https://tinhthanhvn.com/bando/gia-lai/phuong-binh-dinh" TargetMode="External"/><Relationship Id="rId378" Type="http://schemas.openxmlformats.org/officeDocument/2006/relationships/hyperlink" Target="https://www.google.com/maps/search/?api=1&amp;query=Si%C3%AAu%20th%E1%BB%8B%20Nh%C3%A0%20s%C3%A1ch%20B%C3%ACnh%20%C4%90%E1%BB%8Bnh%2C%20V4Q7%2BR4C%2C%20Tr%E1%BA%A7n%20Ph%C3%BA%2C%20ph%C6%B0%E1%BB%9Dng%20B%C3%ACnh%20%C4%90%E1%BB%8Bnh%2C%20t%E1%BB%89nh%20Gia%20Lai" TargetMode="External"/><Relationship Id="rId403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6" Type="http://schemas.openxmlformats.org/officeDocument/2006/relationships/hyperlink" Target="https://www.google.com/maps/search/?api=1&amp;query=Ch%C3%B9a%20Ng%C5%A9%20bang%20H%E1%BB%99i%20qu%C3%A1n%20%28An%20Th%C3%A1i%29%2C%20Th%C3%B4n%20An%20Th%C3%A1i%2C%20ph%C6%B0%E1%BB%9Dng%20B%C3%ACnh%20%C4%90%E1%BB%8Bnh%2C%20t%E1%BB%89nh%20Gia%20Lai" TargetMode="External"/><Relationship Id="rId238" Type="http://schemas.openxmlformats.org/officeDocument/2006/relationships/hyperlink" Target="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" TargetMode="External"/><Relationship Id="rId445" Type="http://schemas.openxmlformats.org/officeDocument/2006/relationships/hyperlink" Target="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" TargetMode="External"/><Relationship Id="rId487" Type="http://schemas.openxmlformats.org/officeDocument/2006/relationships/hyperlink" Target="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" TargetMode="External"/><Relationship Id="rId291" Type="http://schemas.openxmlformats.org/officeDocument/2006/relationships/hyperlink" Target="https://www.google.com/maps/search/?api=1&amp;query=Agribank%20An%20Nh%C6%A1n%2C%20418%20Tr%E1%BA%A7n%20Ph%C3%BA%2C%20ph%C6%B0%E1%BB%9Dng%20B%C3%ACnh%20%C4%90%E1%BB%8Bnh%2C%20t%E1%BB%89nh%20Gia%20Lai" TargetMode="External"/><Relationship Id="rId305" Type="http://schemas.openxmlformats.org/officeDocument/2006/relationships/hyperlink" Target="https://tinhthanhvn.com/bando/gia-lai/phuong-binh-dinh" TargetMode="External"/><Relationship Id="rId347" Type="http://schemas.openxmlformats.org/officeDocument/2006/relationships/hyperlink" Target="https://tinhthanhvn.com/bando/gia-lai/phuong-binh-dinh" TargetMode="External"/><Relationship Id="rId44" Type="http://schemas.openxmlformats.org/officeDocument/2006/relationships/hyperlink" Target="https://tinhthanhvn.com/bando/gia-lai/phuong-binh-dinh" TargetMode="External"/><Relationship Id="rId86" Type="http://schemas.openxmlformats.org/officeDocument/2006/relationships/hyperlink" Target="https://tinhthanhvn.com/bando/gia-lai/phuong-binh-dinh" TargetMode="External"/><Relationship Id="rId151" Type="http://schemas.openxmlformats.org/officeDocument/2006/relationships/hyperlink" Target="https://www.google.com/maps/search/?api=1&amp;query_place_id=ChIJKTmRDowVbzERZzpteDw7olc" TargetMode="External"/><Relationship Id="rId389" Type="http://schemas.openxmlformats.org/officeDocument/2006/relationships/hyperlink" Target="https://tinhthanhvn.com/bando/gia-lai/phuong-binh-dinh" TargetMode="External"/><Relationship Id="rId193" Type="http://schemas.openxmlformats.org/officeDocument/2006/relationships/hyperlink" Target="https://www.google.com/maps/search/?api=1&amp;query=Tr%C3%A0%20s%E1%BB%AFa%20Monta%2C%20V4M4%2BQFJ%2C%20Nguy%E1%BB%85n%20%C4%90%C3%ACnh%20Chi%E1%BB%83u%2C%20ph%C6%B0%E1%BB%9Dng%20B%C3%ACnh%20%C4%90%E1%BB%8Bnh%2C%20t%E1%BB%89nh%20Gia%20Lai" TargetMode="External"/><Relationship Id="rId207" Type="http://schemas.openxmlformats.org/officeDocument/2006/relationships/hyperlink" Target="https://www.google.com/maps/search/?api=1&amp;query=C%C3%B4ng%20vi%C3%AAn%20ph%E1%BB%91%20ch%E1%BB%A3%20An%20Nh%C6%A1n%2C%20V4R4%2B48H%2C%20ph%C6%B0%E1%BB%9Dng%20B%C3%ACnh%20%C4%90%E1%BB%8Bnh%2C%20t%E1%BB%89nh%20Gia%20Lai" TargetMode="External"/><Relationship Id="rId249" Type="http://schemas.openxmlformats.org/officeDocument/2006/relationships/hyperlink" Target="https://www.google.com/maps/search/?api=1&amp;query_place_id=ChIJQ9cM_R4-bzERK3mAAotoPxc" TargetMode="External"/><Relationship Id="rId414" Type="http://schemas.openxmlformats.org/officeDocument/2006/relationships/hyperlink" Target="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" TargetMode="External"/><Relationship Id="rId456" Type="http://schemas.openxmlformats.org/officeDocument/2006/relationships/hyperlink" Target="https://www.google.com/maps/search/?api=1&amp;query=Trung%20t%C3%A2m%20Ph%C3%A1t%20tri%E1%BB%83n%20gi%C3%A1o%20d%E1%BB%A5c%20%C3%81nh%20D%C6%B0%C6%A1ng%2C%2002%20Ch%E1%BA%BF%20Lan%20Vi%C3%AAn%2C%20ph%C6%B0%E1%BB%9Dng%20B%C3%ACnh%20%C4%90%E1%BB%8Bnh%2C%20t%E1%BB%89nh%20Gia%20Lai" TargetMode="External"/><Relationship Id="rId13" Type="http://schemas.openxmlformats.org/officeDocument/2006/relationships/hyperlink" Target="https://congbao.gialai.gov.vn/congbao/congbao.nsf/70E7DA9FCA87F07B88258D96001301F5/$file/529_signed.pdf" TargetMode="External"/><Relationship Id="rId109" Type="http://schemas.openxmlformats.org/officeDocument/2006/relationships/hyperlink" Target="https://rexannhon.vn/nha-hang-alacarte/" TargetMode="External"/><Relationship Id="rId260" Type="http://schemas.openxmlformats.org/officeDocument/2006/relationships/hyperlink" Target="https://tinhthanhvn.com/bando/gia-lai/phuong-binh-dinh" TargetMode="External"/><Relationship Id="rId316" Type="http://schemas.openxmlformats.org/officeDocument/2006/relationships/hyperlink" Target="https://tinbds.com/gia-lai/phuong-binh-dinh" TargetMode="External"/><Relationship Id="rId55" Type="http://schemas.openxmlformats.org/officeDocument/2006/relationships/hyperlink" Target="https://baogialai.com.vn/tuong-nho-ton-vinh-thay-giao-hien-post423886.html" TargetMode="External"/><Relationship Id="rId97" Type="http://schemas.openxmlformats.org/officeDocument/2006/relationships/hyperlink" Target="https://www.google.com/maps/search/?api=1&amp;query_place_id=ChIJp2pxhfUVbzERFn0g5qDT81g" TargetMode="External"/><Relationship Id="rId120" Type="http://schemas.openxmlformats.org/officeDocument/2006/relationships/hyperlink" Target="https://www.google.com/maps/search/?api=1&amp;query_place_id=ChIJoQmuTfg_bzERxpzhzqiPmCE" TargetMode="External"/><Relationship Id="rId358" Type="http://schemas.openxmlformats.org/officeDocument/2006/relationships/hyperlink" Target="https://www.google.com/maps/search/?api=1&amp;query=B%C3%A1ch%20H%C3%B3a%20Xanh%20111-113%20Tr%E1%BA%A7n%20Ph%C3%BA%2C%20111-113%20Tr%E1%BA%A7n%20Ph%C3%BA%2C%20ph%C6%B0%E1%BB%9Dng%20B%C3%ACnh%20%C4%90%E1%BB%8Bnh%2C%20t%E1%BB%89nh%20Gia%20Lai" TargetMode="External"/><Relationship Id="rId162" Type="http://schemas.openxmlformats.org/officeDocument/2006/relationships/hyperlink" Target="https://www.google.com/maps/search/?api=1&amp;query=PH%E1%BB%9E%20TI%E1%BB%80N%2C%20134%20Tr%E1%BA%A7n%20Ph%C3%BA%2C%20ph%C6%B0%E1%BB%9Dng%20B%C3%ACnh%20%C4%90%E1%BB%8Bnh%2C%20t%E1%BB%89nh%20Gia%20Lai" TargetMode="External"/><Relationship Id="rId218" Type="http://schemas.openxmlformats.org/officeDocument/2006/relationships/hyperlink" Target="https://tinhthanhvn.com/bando/gia-lai/phuong-binh-dinh" TargetMode="External"/><Relationship Id="rId425" Type="http://schemas.openxmlformats.org/officeDocument/2006/relationships/hyperlink" Target="https://tinhthanhvn.com/bando/gia-lai/phuong-binh-dinh" TargetMode="External"/><Relationship Id="rId467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271" Type="http://schemas.openxmlformats.org/officeDocument/2006/relationships/hyperlink" Target="https://www.google.com/maps/search/?api=1&amp;query_place_id=ChIJSZ7_Q3E-bzERGmNcEJFlnNE" TargetMode="External"/><Relationship Id="rId24" Type="http://schemas.openxmlformats.org/officeDocument/2006/relationships/hyperlink" Target="https://www.google.com/maps/search/?api=1&amp;query=T%E1%BB%AB%20%C4%91%C6%B0%E1%BB%9Dng%20b%C3%AAn%20ngo%E1%BA%A1i%20vua%20Duy%20T%C3%A2n%2C%20Khu%20v%E1%BB%B1c%20Kim%20Ch%C3%A2u%2C%20ph%C6%B0%E1%BB%9Dng%20B%C3%ACnh%20%C4%90%E1%BB%8Bnh%2C%20t%E1%BB%89nh%20Gia%20Lai" TargetMode="External"/><Relationship Id="rId66" Type="http://schemas.openxmlformats.org/officeDocument/2006/relationships/hyperlink" Target="https://www.google.com/maps/search/?api=1&amp;query_place_id=ChIJB8NNMns9bzERZ5fEAwDa_w0" TargetMode="External"/><Relationship Id="rId131" Type="http://schemas.openxmlformats.org/officeDocument/2006/relationships/hyperlink" Target="https://tinhthanhvn.com/bando/gia-lai/phuong-binh-dinh" TargetMode="External"/><Relationship Id="rId327" Type="http://schemas.openxmlformats.org/officeDocument/2006/relationships/hyperlink" Target="https://www.google.com/maps/search/?api=1&amp;query_place_id=ChIJPRHLyBg-bzER0QMGUrdHLvg" TargetMode="External"/><Relationship Id="rId369" Type="http://schemas.openxmlformats.org/officeDocument/2006/relationships/hyperlink" Target="https://www.google.com/maps/search/?api=1&amp;query_place_id=ChIJxUuoyo49bzERnrv3IREG8vE" TargetMode="External"/><Relationship Id="rId173" Type="http://schemas.openxmlformats.org/officeDocument/2006/relationships/hyperlink" Target="https://tinhthanhvn.com/bando/gia-lai/phuong-binh-dinh" TargetMode="External"/><Relationship Id="rId229" Type="http://schemas.openxmlformats.org/officeDocument/2006/relationships/hyperlink" Target="https://www.google.com/maps/search/?api=1&amp;query=NX%20GYM%2C%2038%20Phan%20%C4%90%C3%ACnh%20Ph%C3%B9ng%2C%20ph%C6%B0%E1%BB%9Dng%20B%C3%ACnh%20%C4%90%E1%BB%8Bnh%2C%20t%E1%BB%89nh%20Gia%20Lai" TargetMode="External"/><Relationship Id="rId380" Type="http://schemas.openxmlformats.org/officeDocument/2006/relationships/hyperlink" Target="https://tinhthanhvn.com/bando/gia-lai/phuong-binh-dinh" TargetMode="External"/><Relationship Id="rId436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40" Type="http://schemas.openxmlformats.org/officeDocument/2006/relationships/hyperlink" Target="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" TargetMode="External"/><Relationship Id="rId478" Type="http://schemas.openxmlformats.org/officeDocument/2006/relationships/hyperlink" Target="https://www.google.com/maps/search/?api=1&amp;query=Tr%C6%B0%E1%BB%9Dng%20THPT%20S%E1%BB%91%201%20An%20Nh%C6%A1n%2C%2089%20L%C3%AA%20H%E1%BB%93ng%20Phong%2C%20ph%C6%B0%E1%BB%9Dng%20B%C3%ACnh%20%C4%90%E1%BB%8Bnh%2C%20t%E1%BB%89nh%20Gia%20Lai" TargetMode="External"/><Relationship Id="rId35" Type="http://schemas.openxmlformats.org/officeDocument/2006/relationships/hyperlink" Target="https://tinhthanhvn.com/bando/gia-lai/phuong-binh-dinh" TargetMode="External"/><Relationship Id="rId77" Type="http://schemas.openxmlformats.org/officeDocument/2006/relationships/hyperlink" Target="https://tinhthanhvn.com/bando/gia-lai/phuong-binh-dinh" TargetMode="External"/><Relationship Id="rId100" Type="http://schemas.openxmlformats.org/officeDocument/2006/relationships/hyperlink" Target="https://www.google.com/maps/search/?api=1&amp;query_place_id=ChIJRakpgRg-bzERBGSUsUY1psE" TargetMode="External"/><Relationship Id="rId282" Type="http://schemas.openxmlformats.org/officeDocument/2006/relationships/hyperlink" Target="https://www.google.com/maps/search/?api=1&amp;query_place_id=ChIJGQUDOoY9bzERBPfOZWh3Yko" TargetMode="External"/><Relationship Id="rId338" Type="http://schemas.openxmlformats.org/officeDocument/2006/relationships/hyperlink" Target="https://tinhthanhvn.com/bando/gia-lai/phuong-binh-dinh" TargetMode="External"/><Relationship Id="rId8" Type="http://schemas.openxmlformats.org/officeDocument/2006/relationships/hyperlink" Target="https://baogialai.com.vn/an-nhon-bao-ton-di-san-van-hoa-gan-voi-phat-trien-du-lich-post361692.html" TargetMode="External"/><Relationship Id="rId142" Type="http://schemas.openxmlformats.org/officeDocument/2006/relationships/hyperlink" Target="https://www.google.com/maps/search/?api=1&amp;query=M%C3%AC%20b%C3%B2%20%C4%90%C3%A0i%20Loan%2C%2011%20Phan%20%C4%90%C3%ACnh%20Ph%C3%B9ng%2C%20ph%C6%B0%E1%BB%9Dng%20B%C3%ACnh%20%C4%90%E1%BB%8Bnh%2C%20t%E1%BB%89nh%20Gia%20Lai" TargetMode="External"/><Relationship Id="rId184" Type="http://schemas.openxmlformats.org/officeDocument/2006/relationships/hyperlink" Target="https://www.google.com/maps/search/?api=1&amp;query=SKY%20Coffee%2C%2002%20Phan%20%C4%90%C3%ACnh%20Ph%C3%B9ng%2C%20ph%C6%B0%E1%BB%9Dng%20B%C3%ACnh%20%C4%90%E1%BB%8Bnh%2C%20t%E1%BB%89nh%20Gia%20Lai" TargetMode="External"/><Relationship Id="rId391" Type="http://schemas.openxmlformats.org/officeDocument/2006/relationships/hyperlink" Target="https://www.google.com/maps/search/?api=1&amp;query_place_id=ChIJXb_cOyI-bzEROee4ql0FaqE" TargetMode="External"/><Relationship Id="rId405" Type="http://schemas.openxmlformats.org/officeDocument/2006/relationships/hyperlink" Target="https://www.google.com/maps/search/?api=1&amp;query=Ban%20Qu%E1%BA%A3n%20l%C3%BD%20ph%C6%B0%E1%BB%9Dng%20B%C3%ACnh%20%C4%90%E1%BB%8Bnh%2C%2077%20L%C3%AA%20H%E1%BB%93ng%20Phong%2C%20Ph%C6%B0%E1%BB%9Dng%20B%C3%ACnh%20%C4%90%E1%BB%8Bnh%2C%20T%E1%BB%89nh%20Gia%20Lai" TargetMode="External"/><Relationship Id="rId447" Type="http://schemas.openxmlformats.org/officeDocument/2006/relationships/hyperlink" Target="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" TargetMode="External"/><Relationship Id="rId251" Type="http://schemas.openxmlformats.org/officeDocument/2006/relationships/hyperlink" Target="https://tinhthanhvn.com/bando/gia-lai/phuong-binh-dinh" TargetMode="External"/><Relationship Id="rId489" Type="http://schemas.openxmlformats.org/officeDocument/2006/relationships/hyperlink" Target="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" TargetMode="External"/><Relationship Id="rId46" Type="http://schemas.openxmlformats.org/officeDocument/2006/relationships/hyperlink" Target="https://www.google.com/maps/search/?api=1&amp;query_place_id=ChIJl-z55Ys9bzERk8aJxPzYM7I" TargetMode="External"/><Relationship Id="rId293" Type="http://schemas.openxmlformats.org/officeDocument/2006/relationships/hyperlink" Target="https://tinhthanhvn.com/bando/gia-lai/phuong-binh-dinh" TargetMode="External"/><Relationship Id="rId307" Type="http://schemas.openxmlformats.org/officeDocument/2006/relationships/hyperlink" Target="https://tinbds.com/gia-lai/phuong-binh-dinh" TargetMode="External"/><Relationship Id="rId349" Type="http://schemas.openxmlformats.org/officeDocument/2006/relationships/hyperlink" Target="https://tinbds.com/gia-lai/phuong-binh-dinh" TargetMode="External"/><Relationship Id="rId88" Type="http://schemas.openxmlformats.org/officeDocument/2006/relationships/hyperlink" Target="https://www.google.com/maps/search/?api=1&amp;query_place_id=ChIJhV6uoRg-bzERLadUCN1hYMc" TargetMode="External"/><Relationship Id="rId111" Type="http://schemas.openxmlformats.org/officeDocument/2006/relationships/hyperlink" Target="https://www.google.com/maps/search/?api=1&amp;query_place_id=ChIJPUFBWwAVbzEROJlNjm3xiwg" TargetMode="External"/><Relationship Id="rId153" Type="http://schemas.openxmlformats.org/officeDocument/2006/relationships/hyperlink" Target="https://www.google.com/maps/search/?api=1&amp;query_place_id=ChIJKTmRDowVbzERZzpteDw7olc" TargetMode="External"/><Relationship Id="rId195" Type="http://schemas.openxmlformats.org/officeDocument/2006/relationships/hyperlink" Target="https://www.google.com/maps/search/?api=1&amp;query=Tr%C3%A0%20s%E1%BB%AFa%20Monta%2C%20V4M4%2BQFJ%2C%20Nguy%E1%BB%85n%20%C4%90%C3%ACnh%20Chi%E1%BB%83u%2C%20ph%C6%B0%E1%BB%9Dng%20B%C3%ACnh%20%C4%90%E1%BB%8Bnh%2C%20t%E1%BB%89nh%20Gia%20Lai" TargetMode="External"/><Relationship Id="rId209" Type="http://schemas.openxmlformats.org/officeDocument/2006/relationships/hyperlink" Target="https://tinhthanhvn.com/bando/gia-lai/phuong-binh-dinh" TargetMode="External"/><Relationship Id="rId360" Type="http://schemas.openxmlformats.org/officeDocument/2006/relationships/hyperlink" Target="https://www.google.com/maps/search/?api=1&amp;query=B%C3%A1ch%20H%C3%B3a%20Xanh%20111-113%20Tr%E1%BA%A7n%20Ph%C3%BA%2C%20111-113%20Tr%E1%BA%A7n%20Ph%C3%BA%2C%20ph%C6%B0%E1%BB%9Dng%20B%C3%ACnh%20%C4%90%E1%BB%8Bnh%2C%20t%E1%BB%89nh%20Gia%20Lai" TargetMode="External"/><Relationship Id="rId416" Type="http://schemas.openxmlformats.org/officeDocument/2006/relationships/hyperlink" Target="https://www.google.com/maps/search/?api=1&amp;query_place_id=ChIJ4QDl2B4-bzEREcKTBqnf83g" TargetMode="External"/><Relationship Id="rId220" Type="http://schemas.openxmlformats.org/officeDocument/2006/relationships/hyperlink" Target="https://www.google.com/maps/search/?api=1&amp;query=Karaoke%20Kim%20Thoa%2C%20W23J%2B6H%2C%20khu%20v%E1%BB%B1c%20Nh%C6%A1n%20Ph%C3%BAc%20c%C5%A9%2C%20ph%C6%B0%E1%BB%9Dng%20B%C3%ACnh%20%C4%90%E1%BB%8Bnh%2C%20t%E1%BB%89nh%20Gia%20Lai" TargetMode="External"/><Relationship Id="rId458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15" Type="http://schemas.openxmlformats.org/officeDocument/2006/relationships/hyperlink" Target="https://www.google.com/maps/search/?api=1&amp;query=Ph%E1%BA%BF%20t%C3%ADch%20th%C3%A1p%20An%20H%C3%B2a%2C%20Th%C3%B4n%20An%20H%C3%B2a%2C%20ph%C6%B0%E1%BB%9Dng%20B%C3%ACnh%20%C4%90%E1%BB%8Bnh%2C%20t%E1%BB%89nh%20Gia%20Lai%3B%20khu%20v%E1%BB%B1c%20ven%20%C4%91%C6%B0%E1%BB%9Dng%20636" TargetMode="External"/><Relationship Id="rId57" Type="http://schemas.openxmlformats.org/officeDocument/2006/relationships/hyperlink" Target="https://www.google.com/maps/search/?api=1&amp;query=L%C3%A0ng%20ngh%E1%BB%81%20b%C3%BAn%20kh%C3%B4%20-%20b%C3%A1nh%20tr%C3%A1ng%20An%20Th%C3%A1i%2C%20Th%C3%B4n%20An%20Th%C3%A1i%2C%20ph%C6%B0%E1%BB%9Dng%20B%C3%ACnh%20%C4%90%E1%BB%8Bnh%2C%20t%E1%BB%89nh%20Gia%20Lai" TargetMode="External"/><Relationship Id="rId262" Type="http://schemas.openxmlformats.org/officeDocument/2006/relationships/hyperlink" Target="https://www.google.com/maps/search/?api=1&amp;query_place_id=ChIJKXiWuB4-bzERqepOz7TtkqM" TargetMode="External"/><Relationship Id="rId318" Type="http://schemas.openxmlformats.org/officeDocument/2006/relationships/hyperlink" Target="https://www.google.com/maps/search/?api=1&amp;query=ATM%20Vietcombank%20An%20Nh%C6%A1n%2C%20194-196%20Ng%C3%B4%20Gia%20T%E1%BB%B1%2C%20ph%C6%B0%E1%BB%9Dng%20B%C3%ACnh%20%C4%90%E1%BB%8Bnh%2C%20t%E1%BB%89nh%20Gia%20Lai" TargetMode="External"/><Relationship Id="rId99" Type="http://schemas.openxmlformats.org/officeDocument/2006/relationships/hyperlink" Target="https://www.google.com/maps/search/?api=1&amp;query_place_id=ChIJp2pxhfUVbzERFn0g5qDT81g" TargetMode="External"/><Relationship Id="rId122" Type="http://schemas.openxmlformats.org/officeDocument/2006/relationships/hyperlink" Target="https://tinhthanhvn.com/bando/gia-lai/phuong-binh-dinh" TargetMode="External"/><Relationship Id="rId164" Type="http://schemas.openxmlformats.org/officeDocument/2006/relationships/hyperlink" Target="https://tinhthanhvn.com/bando/gia-lai/phuong-binh-dinh" TargetMode="External"/><Relationship Id="rId371" Type="http://schemas.openxmlformats.org/officeDocument/2006/relationships/hyperlink" Target="https://tinhthanhvn.com/bando/gia-lai/phuong-binh-dinh" TargetMode="External"/><Relationship Id="rId427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469" Type="http://schemas.openxmlformats.org/officeDocument/2006/relationships/hyperlink" Target="https://www.google.com/maps/search/?api=1&amp;query=Tr%C6%B0%E1%BB%9Dng%20THCS%20Nh%C6%A1n%20Kh%C3%A1nh%2C%20V3R8%2BFQ9%2C%20ph%C6%B0%E1%BB%9Dng%20B%C3%ACnh%20%C4%90%E1%BB%8Bnh%2C%20t%E1%BB%89nh%20Gia%20Lai" TargetMode="External"/><Relationship Id="rId26" Type="http://schemas.openxmlformats.org/officeDocument/2006/relationships/hyperlink" Target="https://tinhthanhvn.com/bando/gia-lai/phuong-binh-dinh" TargetMode="External"/><Relationship Id="rId231" Type="http://schemas.openxmlformats.org/officeDocument/2006/relationships/hyperlink" Target="https://www.google.com/maps/search/?api=1&amp;query=NX%20GYM%2C%2038%20Phan%20%C4%90%C3%ACnh%20Ph%C3%B9ng%2C%20ph%C6%B0%E1%BB%9Dng%20B%C3%ACnh%20%C4%90%E1%BB%8Bnh%2C%20t%E1%BB%89nh%20Gia%20Lai" TargetMode="External"/><Relationship Id="rId273" Type="http://schemas.openxmlformats.org/officeDocument/2006/relationships/hyperlink" Target="https://www.google.com/maps/search/?api=1&amp;query_place_id=ChIJSZ7_Q3E-bzERGmNcEJFlnNE" TargetMode="External"/><Relationship Id="rId329" Type="http://schemas.openxmlformats.org/officeDocument/2006/relationships/hyperlink" Target="https://tinhthanhvn.com/bando/gia-lai/phuong-binh-dinh" TargetMode="External"/><Relationship Id="rId480" Type="http://schemas.openxmlformats.org/officeDocument/2006/relationships/hyperlink" Target="https://www.google.com/maps/search/?api=1&amp;query=Tr%C6%B0%E1%BB%9Dng%20THPT%20S%E1%BB%91%201%20An%20Nh%C6%A1n%2C%2089%20L%C3%AA%20H%E1%BB%93ng%20Phong%2C%20ph%C6%B0%E1%BB%9Dng%20B%C3%ACnh%20%C4%90%E1%BB%8Bnh%2C%20t%E1%BB%89nh%20Gia%20Lai" TargetMode="External"/><Relationship Id="rId68" Type="http://schemas.openxmlformats.org/officeDocument/2006/relationships/hyperlink" Target="https://gpquinhon.org/nghe-thuat-thanh/gioi-thieu-hinh-anh-nha-tho-giao-xu-kim-chau-345.html" TargetMode="External"/><Relationship Id="rId133" Type="http://schemas.openxmlformats.org/officeDocument/2006/relationships/hyperlink" Target="https://www.google.com/maps/search/?api=1&amp;query=Doong%20Cha%2C%2004%20H%C3%A0m%20Nghi%2C%20ph%C6%B0%E1%BB%9Dng%20B%C3%ACnh%20%C4%90%E1%BB%8Bnh%2C%20t%E1%BB%89nh%20Gia%20Lai" TargetMode="External"/><Relationship Id="rId175" Type="http://schemas.openxmlformats.org/officeDocument/2006/relationships/hyperlink" Target="https://www.google.com/maps/search/?api=1&amp;query_place_id=ChIJBY9sYO0_bzERZVH1Eevcc5I" TargetMode="External"/><Relationship Id="rId340" Type="http://schemas.openxmlformats.org/officeDocument/2006/relationships/hyperlink" Target="https://tinbds.com/gia-lai/phuong-binh-dinh" TargetMode="External"/><Relationship Id="rId200" Type="http://schemas.openxmlformats.org/officeDocument/2006/relationships/hyperlink" Target="https://tinhthanhvn.com/bando/gia-lai/phuong-binh-dinh" TargetMode="External"/><Relationship Id="rId382" Type="http://schemas.openxmlformats.org/officeDocument/2006/relationships/hyperlink" Target="https://www.google.com/maps/search/?api=1&amp;query_place_id=ChIJ19Fwq4oVbzEROT1IB1sbhn4" TargetMode="External"/><Relationship Id="rId438" Type="http://schemas.openxmlformats.org/officeDocument/2006/relationships/hyperlink" Target="https://www.google.com/maps/search/?api=1&amp;query=%E1%BB%A6y%20ban%20MTTQ%20Vi%E1%BB%87t%20Nam%20ph%C6%B0%E1%BB%9Dng%20B%C3%ACnh%20%C4%90%E1%BB%8Bnh%2C%2002%20Ph%E1%BA%A1m%20H%E1%BB%93ng%20Th%C3%A1i%2C%20Ph%C6%B0%E1%BB%9Dng%20B%C3%ACnh%20%C4%90%E1%BB%8Bnh%2C%20T%E1%BB%89nh%20Gia%20Lai" TargetMode="External"/><Relationship Id="rId242" Type="http://schemas.openxmlformats.org/officeDocument/2006/relationships/hyperlink" Target="https://tinhthanhvn.com/bando/gia-lai/phuong-binh-dinh" TargetMode="External"/><Relationship Id="rId284" Type="http://schemas.openxmlformats.org/officeDocument/2006/relationships/hyperlink" Target="https://tinhthanhvn.com/bando/gia-lai/phuong-binh-dinh" TargetMode="External"/><Relationship Id="rId491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37" Type="http://schemas.openxmlformats.org/officeDocument/2006/relationships/hyperlink" Target="https://www.google.com/maps/search/?api=1&amp;query_place_id=ChIJNcccEl09bzERRTEr0ux9NXU" TargetMode="External"/><Relationship Id="rId79" Type="http://schemas.openxmlformats.org/officeDocument/2006/relationships/hyperlink" Target="https://www.google.com/maps/search/?api=1&amp;query_place_id=ChIJkddN1dc_bzERlswdPZOWi_s" TargetMode="External"/><Relationship Id="rId102" Type="http://schemas.openxmlformats.org/officeDocument/2006/relationships/hyperlink" Target="https://www.google.com/maps/search/?api=1&amp;query_place_id=ChIJRakpgRg-bzERBGSUsUY1psE" TargetMode="External"/><Relationship Id="rId144" Type="http://schemas.openxmlformats.org/officeDocument/2006/relationships/hyperlink" Target="https://www.google.com/maps/search/?api=1&amp;query=M%C3%AC%20b%C3%B2%20%C4%90%C3%A0i%20Loan%2C%2011%20Phan%20%C4%90%C3%ACnh%20Ph%C3%B9ng%2C%20ph%C6%B0%E1%BB%9Dng%20B%C3%ACnh%20%C4%90%E1%BB%8Bnh%2C%20t%E1%BB%89nh%20Gia%20Lai" TargetMode="External"/><Relationship Id="rId90" Type="http://schemas.openxmlformats.org/officeDocument/2006/relationships/hyperlink" Target="https://www.google.com/maps/search/?api=1&amp;query_place_id=ChIJhV6uoRg-bzERLadUCN1hYMc" TargetMode="External"/><Relationship Id="rId186" Type="http://schemas.openxmlformats.org/officeDocument/2006/relationships/hyperlink" Target="https://www.google.com/maps/search/?api=1&amp;query=SKY%20Coffee%2C%2002%20Phan%20%C4%90%C3%ACnh%20Ph%C3%B9ng%2C%20ph%C6%B0%E1%BB%9Dng%20B%C3%ACnh%20%C4%90%E1%BB%8Bnh%2C%20t%E1%BB%89nh%20Gia%20Lai" TargetMode="External"/><Relationship Id="rId351" Type="http://schemas.openxmlformats.org/officeDocument/2006/relationships/hyperlink" Target="https://www.google.com/maps/search/?api=1&amp;query=VietABank%20An%20Nh%C6%A1n%2C%20187%20Tr%E1%BA%A7n%20Ph%C3%BA%2C%20ph%C6%B0%E1%BB%9Dng%20B%C3%ACnh%20%C4%90%E1%BB%8Bnh%2C%20t%E1%BB%89nh%20Gia%20Lai" TargetMode="External"/><Relationship Id="rId393" Type="http://schemas.openxmlformats.org/officeDocument/2006/relationships/hyperlink" Target="https://www.google.com/maps/search/?api=1&amp;query_place_id=ChIJXb_cOyI-bzEROee4ql0FaqE" TargetMode="External"/><Relationship Id="rId407" Type="http://schemas.openxmlformats.org/officeDocument/2006/relationships/hyperlink" Target="https://tinhthanhvn.com/bando/gia-lai/phuong-binh-dinh" TargetMode="External"/><Relationship Id="rId449" Type="http://schemas.openxmlformats.org/officeDocument/2006/relationships/hyperlink" Target="https://tinhthanhvn.com/bando/gia-lai/phuong-binh-dinh" TargetMode="External"/><Relationship Id="rId211" Type="http://schemas.openxmlformats.org/officeDocument/2006/relationships/hyperlink" Target="https://www.google.com/maps/search/?api=1&amp;query_place_id=ChIJp0AWlpo_bzERXayad0g2FMc" TargetMode="External"/><Relationship Id="rId253" Type="http://schemas.openxmlformats.org/officeDocument/2006/relationships/hyperlink" Target="https://www.google.com/maps/search/?api=1&amp;query=Nha%20Khoa%20T%C3%A2m%20An%2C%20105%20Tr%E1%BA%A7n%20Ph%C3%BA%2C%20ph%C6%B0%E1%BB%9Dng%20B%C3%ACnh%20%C4%90%E1%BB%8Bnh%2C%20t%E1%BB%89nh%20Gia%20Lai" TargetMode="External"/><Relationship Id="rId295" Type="http://schemas.openxmlformats.org/officeDocument/2006/relationships/hyperlink" Target="https://tinbds.com/gia-lai/phuong-binh-dinh" TargetMode="External"/><Relationship Id="rId309" Type="http://schemas.openxmlformats.org/officeDocument/2006/relationships/hyperlink" Target="https://www.google.com/maps/search/?api=1&amp;query=ATM%20KienlongBank%20An%20Nh%C6%A1n%2C%20254%20Ng%C3%B4%20Gia%20T%E1%BB%B1%2C%20ph%C6%B0%E1%BB%9Dng%20B%C3%ACnh%20%C4%90%E1%BB%8Bnh%2C%20t%E1%BB%89nh%20Gia%20Lai" TargetMode="External"/><Relationship Id="rId460" Type="http://schemas.openxmlformats.org/officeDocument/2006/relationships/hyperlink" Target="https://masothue.com/4101427275-truong-mam-non-nhon-khanh" TargetMode="External"/><Relationship Id="rId48" Type="http://schemas.openxmlformats.org/officeDocument/2006/relationships/hyperlink" Target="https://www.google.com/maps/search/?api=1&amp;query_place_id=ChIJl-z55Ys9bzERk8aJxPzYM7I" TargetMode="External"/><Relationship Id="rId113" Type="http://schemas.openxmlformats.org/officeDocument/2006/relationships/hyperlink" Target="https://tinhthanhvn.com/bando/gia-lai/phuong-binh-dinh" TargetMode="External"/><Relationship Id="rId320" Type="http://schemas.openxmlformats.org/officeDocument/2006/relationships/hyperlink" Target="https://tinhthanhvn.com/bando/gia-lai/phuong-binh-dinh" TargetMode="External"/><Relationship Id="rId155" Type="http://schemas.openxmlformats.org/officeDocument/2006/relationships/hyperlink" Target="https://tinhthanhvn.com/bando/gia-lai/phuong-binh-dinh" TargetMode="External"/><Relationship Id="rId197" Type="http://schemas.openxmlformats.org/officeDocument/2006/relationships/hyperlink" Target="https://tinhthanhvn.com/bando/gia-lai/phuong-binh-dinh" TargetMode="External"/><Relationship Id="rId362" Type="http://schemas.openxmlformats.org/officeDocument/2006/relationships/hyperlink" Target="https://tinhthanhvn.com/bando/gia-lai/phuong-binh-dinh" TargetMode="External"/><Relationship Id="rId418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22" Type="http://schemas.openxmlformats.org/officeDocument/2006/relationships/hyperlink" Target="https://www.google.com/maps/search/?api=1&amp;query=Karaoke%20Kim%20Thoa%2C%20W23J%2B6H%2C%20khu%20v%E1%BB%B1c%20Nh%C6%A1n%20Ph%C3%BAc%20c%C5%A9%2C%20ph%C6%B0%E1%BB%9Dng%20B%C3%ACnh%20%C4%90%E1%BB%8Bnh%2C%20t%E1%BB%89nh%20Gia%20Lai" TargetMode="External"/><Relationship Id="rId264" Type="http://schemas.openxmlformats.org/officeDocument/2006/relationships/hyperlink" Target="https://www.google.com/maps/search/?api=1&amp;query_place_id=ChIJKXiWuB4-bzERqepOz7TtkqM" TargetMode="External"/><Relationship Id="rId471" Type="http://schemas.openxmlformats.org/officeDocument/2006/relationships/hyperlink" Target="https://www.google.com/maps/search/?api=1&amp;query=Tr%C6%B0%E1%BB%9Dng%20THCS%20Nh%C6%A1n%20Kh%C3%A1nh%2C%20V3R8%2BFQ9%2C%20ph%C6%B0%E1%BB%9Dng%20B%C3%ACnh%20%C4%90%E1%BB%8Bnh%2C%20t%E1%BB%89nh%20Gia%20Lai" TargetMode="External"/><Relationship Id="rId17" Type="http://schemas.openxmlformats.org/officeDocument/2006/relationships/hyperlink" Target="https://tinhthanhvn.com/bando/gia-lai/phuong-binh-dinh" TargetMode="External"/><Relationship Id="rId59" Type="http://schemas.openxmlformats.org/officeDocument/2006/relationships/hyperlink" Target="https://tinhthanhvn.com/bando/gia-lai/phuong-binh-dinh" TargetMode="External"/><Relationship Id="rId124" Type="http://schemas.openxmlformats.org/officeDocument/2006/relationships/hyperlink" Target="https://www.google.com/maps/search/?api=1&amp;query_place_id=ChIJYW5pGgAVbzERJ55VkO9hONQ" TargetMode="External"/><Relationship Id="rId70" Type="http://schemas.openxmlformats.org/officeDocument/2006/relationships/hyperlink" Target="https://www.google.com/maps/search/?api=1&amp;query_place_id=ChIJvTj7mHMWbzERt3Qq_xtoKK4" TargetMode="External"/><Relationship Id="rId166" Type="http://schemas.openxmlformats.org/officeDocument/2006/relationships/hyperlink" Target="https://www.google.com/maps/search/?api=1&amp;query_place_id=ChIJB4GeRwA_bzER6qy8Uz-VVHc" TargetMode="External"/><Relationship Id="rId331" Type="http://schemas.openxmlformats.org/officeDocument/2006/relationships/hyperlink" Target="https://tinbds.com/gia-lai/phuong-binh-dinh" TargetMode="External"/><Relationship Id="rId373" Type="http://schemas.openxmlformats.org/officeDocument/2006/relationships/hyperlink" Target="https://www.google.com/maps/search/?api=1&amp;query_place_id=ChIJ4wdUcQA_bzER_OIb-gZEhps" TargetMode="External"/><Relationship Id="rId429" Type="http://schemas.openxmlformats.org/officeDocument/2006/relationships/hyperlink" Target="https://www.google.com/maps/search/?api=1&amp;query=Trung%20t%C3%A2m%20Ch%C3%ADnh%20tr%E1%BB%8B%20ph%C6%B0%E1%BB%9Dng%20B%C3%ACnh%20%C4%90%E1%BB%8Bnh%2C%2059%20L%C3%AA%20H%E1%BB%93ng%20Phong%2C%20Ph%C6%B0%E1%BB%9Dng%20B%C3%ACnh%20%C4%90%E1%BB%8Bnh%2C%20T%E1%BB%89nh%20Gia%20Lai" TargetMode="External"/><Relationship Id="rId1" Type="http://schemas.openxmlformats.org/officeDocument/2006/relationships/hyperlink" Target="https://congbao.gialai.gov.vn/congbao/congbao.nsf/70E7DA9FCA87F07B88258D96001301F5/$file/529_signed.pdf" TargetMode="External"/><Relationship Id="rId233" Type="http://schemas.openxmlformats.org/officeDocument/2006/relationships/hyperlink" Target="https://tinhthanhvn.com/bando/gia-lai/phuong-binh-dinh" TargetMode="External"/><Relationship Id="rId440" Type="http://schemas.openxmlformats.org/officeDocument/2006/relationships/hyperlink" Target="https://tinhthanhvn.com/bando/gia-lai/phuong-binh-dinh" TargetMode="External"/><Relationship Id="rId28" Type="http://schemas.openxmlformats.org/officeDocument/2006/relationships/hyperlink" Target="https://baovanhoa.vn/van-hoa/toa-dam-khoi-phuc-le-hoi-do-gian-an-thai-101273.html" TargetMode="External"/><Relationship Id="rId275" Type="http://schemas.openxmlformats.org/officeDocument/2006/relationships/hyperlink" Target="https://tinhthanhvn.com/bando/gia-lai/phuong-binh-dinh" TargetMode="External"/><Relationship Id="rId300" Type="http://schemas.openxmlformats.org/officeDocument/2006/relationships/hyperlink" Target="https://www.google.com/maps/search/?api=1&amp;query=ATM%20Agribank%20-%20418%20Tr%E1%BA%A7n%20Ph%C3%BA%2C%20418%20Tr%E1%BA%A7n%20Ph%C3%BA%2C%20ph%C6%B0%E1%BB%9Dng%20B%C3%ACnh%20%C4%90%E1%BB%8Bnh%2C%20t%E1%BB%89nh%20Gia%20Lai" TargetMode="External"/><Relationship Id="rId482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81" Type="http://schemas.openxmlformats.org/officeDocument/2006/relationships/hyperlink" Target="https://www.google.com/maps/search/?api=1&amp;query_place_id=ChIJkddN1dc_bzERlswdPZOWi_s" TargetMode="External"/><Relationship Id="rId135" Type="http://schemas.openxmlformats.org/officeDocument/2006/relationships/hyperlink" Target="https://www.google.com/maps/search/?api=1&amp;query=Doong%20Cha%2C%2004%20H%C3%A0m%20Nghi%2C%20ph%C6%B0%E1%BB%9Dng%20B%C3%ACnh%20%C4%90%E1%BB%8Bnh%2C%20t%E1%BB%89nh%20Gia%20Lai" TargetMode="External"/><Relationship Id="rId177" Type="http://schemas.openxmlformats.org/officeDocument/2006/relationships/hyperlink" Target="https://www.google.com/maps/search/?api=1&amp;query_place_id=ChIJBY9sYO0_bzERZVH1Eevcc5I" TargetMode="External"/><Relationship Id="rId342" Type="http://schemas.openxmlformats.org/officeDocument/2006/relationships/hyperlink" Target="https://www.google.com/maps/search/?api=1&amp;query=Nam%20A%20Bank%20An%20Nh%C6%A1n%2C%20138%20Tr%E1%BA%A7n%20Ph%C3%BA%2C%20ph%C6%B0%E1%BB%9Dng%20B%C3%ACnh%20%C4%90%E1%BB%8Bnh%2C%20t%E1%BB%89nh%20Gia%20Lai" TargetMode="External"/><Relationship Id="rId384" Type="http://schemas.openxmlformats.org/officeDocument/2006/relationships/hyperlink" Target="https://www.google.com/maps/search/?api=1&amp;query_place_id=ChIJ19Fwq4oVbzEROT1IB1sbhn4" TargetMode="External"/><Relationship Id="rId202" Type="http://schemas.openxmlformats.org/officeDocument/2006/relationships/hyperlink" Target="https://www.google.com/maps/search/?api=1&amp;query_place_id=ChIJ86BCA_cVbzERB3oi0LU-hHQ" TargetMode="External"/><Relationship Id="rId244" Type="http://schemas.openxmlformats.org/officeDocument/2006/relationships/hyperlink" Target="https://www.google.com/maps/search/?api=1&amp;query=Won%20Sport%20Billiards%20Club%2C%20%C4%90%C6%B0%E1%BB%9Dng%20Nguy%E1%BB%85n%20Sinh%20S%E1%BA%AFc%2C%20Khu%20B%E1%BA%AFc%20S%C3%B4ng%2C%20ph%C6%B0%E1%BB%9Dng%20B%C3%ACnh%20%C4%90%E1%BB%8Bnh%2C%20t%E1%BB%89nh%20Gia%20Lai" TargetMode="External"/><Relationship Id="rId39" Type="http://schemas.openxmlformats.org/officeDocument/2006/relationships/hyperlink" Target="https://www.google.com/maps/search/?api=1&amp;query_place_id=ChIJNcccEl09bzERRTEr0ux9NXU" TargetMode="External"/><Relationship Id="rId286" Type="http://schemas.openxmlformats.org/officeDocument/2006/relationships/hyperlink" Target="https://timbankvn.com/tim-chi-nhanh/acb-pgd-an-nhon/" TargetMode="External"/><Relationship Id="rId451" Type="http://schemas.openxmlformats.org/officeDocument/2006/relationships/hyperlink" Target="https://www.google.com/maps/search/?api=1&amp;query=Trung%20t%C3%A2m%20GDNN-GDTX%20An%20Nh%C6%A1n%2C%2031%20Tr%E1%BA%A7n%20Th%E1%BB%8B%20K%E1%BB%B7%2C%20ph%C6%B0%E1%BB%9Dng%20B%C3%ACnh%20%C4%90%E1%BB%8Bnh%2C%20t%E1%BB%89nh%20Gia%20Lai" TargetMode="External"/><Relationship Id="rId493" Type="http://schemas.openxmlformats.org/officeDocument/2006/relationships/hyperlink" Target="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" TargetMode="External"/><Relationship Id="rId50" Type="http://schemas.openxmlformats.org/officeDocument/2006/relationships/hyperlink" Target="https://tinhthanhvn.com/bando/gia-lai/phuong-binh-dinh" TargetMode="External"/><Relationship Id="rId104" Type="http://schemas.openxmlformats.org/officeDocument/2006/relationships/hyperlink" Target="https://tinhthanhvn.com/bando/gia-lai/phuong-binh-dinh" TargetMode="External"/><Relationship Id="rId146" Type="http://schemas.openxmlformats.org/officeDocument/2006/relationships/hyperlink" Target="https://tinhthanhvn.com/bando/gia-lai/phuong-binh-dinh" TargetMode="External"/><Relationship Id="rId188" Type="http://schemas.openxmlformats.org/officeDocument/2006/relationships/hyperlink" Target="https://tinhthanhvn.com/bando/gia-lai/phuong-binh-dinh" TargetMode="External"/><Relationship Id="rId311" Type="http://schemas.openxmlformats.org/officeDocument/2006/relationships/hyperlink" Target="https://tinhthanhvn.com/bando/gia-lai/phuong-binh-dinh" TargetMode="External"/><Relationship Id="rId353" Type="http://schemas.openxmlformats.org/officeDocument/2006/relationships/hyperlink" Target="https://sotayvang.com/vietcombank-quy-nhon-pgd-an-nhon-tt-binh-dinh/" TargetMode="External"/><Relationship Id="rId395" Type="http://schemas.openxmlformats.org/officeDocument/2006/relationships/hyperlink" Target="https://tinhthanhvn.com/bando/gia-lai/phuong-binh-dinh" TargetMode="External"/><Relationship Id="rId409" Type="http://schemas.openxmlformats.org/officeDocument/2006/relationships/hyperlink" Target="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" TargetMode="External"/><Relationship Id="rId92" Type="http://schemas.openxmlformats.org/officeDocument/2006/relationships/hyperlink" Target="https://sotayvang.com/khach-san-century-tt-binh-dinh/" TargetMode="External"/><Relationship Id="rId213" Type="http://schemas.openxmlformats.org/officeDocument/2006/relationships/hyperlink" Target="https://www.google.com/maps/search/?api=1&amp;query_place_id=ChIJp0AWlpo_bzERXayad0g2FMc" TargetMode="External"/><Relationship Id="rId420" Type="http://schemas.openxmlformats.org/officeDocument/2006/relationships/hyperlink" Target="https://www.google.com/maps/search/?api=1&amp;query=%C4%90%E1%BA%A3ng%20%E1%BB%A7y%20ph%C6%B0%E1%BB%9Dng%20B%C3%ACnh%20%C4%90%E1%BB%8Bnh%2C%2080%20L%C3%AA%20H%E1%BB%93ng%20Phong%2C%20Ph%C6%B0%E1%BB%9Dng%20B%C3%ACnh%20%C4%90%E1%BB%8Bnh%2C%20T%E1%BB%89nh%20Gia%20Lai" TargetMode="External"/><Relationship Id="rId255" Type="http://schemas.openxmlformats.org/officeDocument/2006/relationships/hyperlink" Target="https://www.google.com/maps/search/?api=1&amp;query=Nha%20Khoa%20T%C3%A2m%20An%2C%20105%20Tr%E1%BA%A7n%20Ph%C3%BA%2C%20ph%C6%B0%E1%BB%9Dng%20B%C3%ACnh%20%C4%90%E1%BB%8Bnh%2C%20t%E1%BB%89nh%20Gia%20Lai" TargetMode="External"/><Relationship Id="rId297" Type="http://schemas.openxmlformats.org/officeDocument/2006/relationships/hyperlink" Target="https://www.google.com/maps/search/?api=1&amp;query=ATM%20Agribank%20-%20320%20Tr%E1%BA%A7n%20Ph%C3%BA%2C%20320%20Tr%E1%BA%A7n%20Ph%C3%BA%2C%20ph%C6%B0%E1%BB%9Dng%20B%C3%ACnh%20%C4%90%E1%BB%8Bnh%2C%20t%E1%BB%89nh%20Gia%20Lai" TargetMode="External"/><Relationship Id="rId462" Type="http://schemas.openxmlformats.org/officeDocument/2006/relationships/hyperlink" Target="https://www.google.com/maps/search/?api=1&amp;query=Tr%C6%B0%E1%BB%9Dng%20M%E1%BA%A7m%20non%20Nh%C6%A1n%20Kh%C3%A1nh%2C%20T%E1%BB%95%20d%C3%A2n%20ph%E1%BB%91%20An%20H%C3%B2a%20/%20khu%20v%E1%BB%B1c%20Kh%C3%A1nh%20H%C3%B2a%2C%20ph%C6%B0%E1%BB%9Dng%20B%C3%ACnh%20%C4%90%E1%BB%8Bnh%2C%20t%E1%BB%89nh%20Gia%20Lai" TargetMode="External"/><Relationship Id="rId115" Type="http://schemas.openxmlformats.org/officeDocument/2006/relationships/hyperlink" Target="https://www.google.com/maps/search/?api=1&amp;query=%E1%BA%A8m%20Th%E1%BB%B1c%20S%C6%A1%20Ri%20B%C3%ACnh%20%C4%90%E1%BB%8Bnh%2C%20V4M7%2BFVM%2C%20Phan%20%C4%90%C3%ACnh%20Ph%C3%B9ng%2C%20ph%C6%B0%E1%BB%9Dng%20B%C3%ACnh%20%C4%90%E1%BB%8Bnh%2C%20t%E1%BB%89nh%20Gia%20Lai" TargetMode="External"/><Relationship Id="rId157" Type="http://schemas.openxmlformats.org/officeDocument/2006/relationships/hyperlink" Target="https://www.google.com/maps/search/?api=1&amp;query_place_id=ChIJSfD2Ya8_bzERahwWUJr4N_c" TargetMode="External"/><Relationship Id="rId322" Type="http://schemas.openxmlformats.org/officeDocument/2006/relationships/hyperlink" Target="https://bidv.nganhangs.com/chi-nhanh/binh-dinh/an-nhon/duong-tran-phu/pgd-an-nhon_c43" TargetMode="External"/><Relationship Id="rId364" Type="http://schemas.openxmlformats.org/officeDocument/2006/relationships/hyperlink" Target="https://www.google.com/maps/search/?api=1&amp;query_place_id=ChIJEVTPuUM9bzERd5KhbdP2qhE" TargetMode="External"/><Relationship Id="rId61" Type="http://schemas.openxmlformats.org/officeDocument/2006/relationships/hyperlink" Target="https://www.google.com/maps/search/?api=1&amp;query_place_id=ChIJIyZyXrA9bzERPaK1aoWcbkY" TargetMode="External"/><Relationship Id="rId199" Type="http://schemas.openxmlformats.org/officeDocument/2006/relationships/hyperlink" Target="https://www.google.com/maps/search/?api=1&amp;query=Billiards%20NT%20B%C3%ACnh%20%C4%90%E1%BB%8Bnh%2C%20V4Q2%2BFFX%2C%20ph%C6%B0%E1%BB%9Dng%20B%C3%ACnh%20%C4%90%E1%BB%8Bnh%2C%20t%E1%BB%89nh%20Gia%20Lai" TargetMode="External"/><Relationship Id="rId19" Type="http://schemas.openxmlformats.org/officeDocument/2006/relationships/hyperlink" Target="https://congbao.gialai.gov.vn/congbao/congbao.nsf/70E7DA9FCA87F07B88258D96001301F5/$file/529_signed.pdf" TargetMode="External"/><Relationship Id="rId224" Type="http://schemas.openxmlformats.org/officeDocument/2006/relationships/hyperlink" Target="https://tinhthanhvn.com/bando/gia-lai/phuong-binh-dinh" TargetMode="External"/><Relationship Id="rId266" Type="http://schemas.openxmlformats.org/officeDocument/2006/relationships/hyperlink" Target="https://tinhthanhvn.com/bando/gia-lai/phuong-binh-dinh" TargetMode="External"/><Relationship Id="rId431" Type="http://schemas.openxmlformats.org/officeDocument/2006/relationships/hyperlink" Target="https://binhdinh.gialai.gov.vn/" TargetMode="External"/><Relationship Id="rId473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30" Type="http://schemas.openxmlformats.org/officeDocument/2006/relationships/hyperlink" Target="https://www.google.com/maps/search/?api=1&amp;query=Ch%C3%B9a%20B%C3%A0%20H%E1%BB%8Fa%20%28Ch%C3%B9a%20B%C3%A0%20Sau%29%2C%20Th%C3%B4n%20An%20Th%C3%A1i%2C%20ph%C6%B0%E1%BB%9Dng%20B%C3%ACnh%20%C4%90%E1%BB%8Bnh%2C%20t%E1%BB%89nh%20Gia%20Lai" TargetMode="External"/><Relationship Id="rId126" Type="http://schemas.openxmlformats.org/officeDocument/2006/relationships/hyperlink" Target="https://www.google.com/maps/search/?api=1&amp;query_place_id=ChIJYW5pGgAVbzERJ55VkO9hONQ" TargetMode="External"/><Relationship Id="rId168" Type="http://schemas.openxmlformats.org/officeDocument/2006/relationships/hyperlink" Target="https://www.google.com/maps/search/?api=1&amp;query_place_id=ChIJB4GeRwA_bzER6qy8Uz-VVHc" TargetMode="External"/><Relationship Id="rId333" Type="http://schemas.openxmlformats.org/officeDocument/2006/relationships/hyperlink" Target="https://www.google.com/maps/search/?api=1&amp;query=LPBank%20An%20Nh%C6%A1n%2C%20162%20Tr%E1%BA%A7n%20Ph%C3%BA%2C%20ph%C6%B0%E1%BB%9Dng%20B%C3%ACnh%20%C4%90%E1%BB%8Bnh%2C%20t%E1%BB%89nh%20Gia%20Lai" TargetMode="External"/><Relationship Id="rId72" Type="http://schemas.openxmlformats.org/officeDocument/2006/relationships/hyperlink" Target="https://www.google.com/maps/search/?api=1&amp;query_place_id=ChIJvTj7mHMWbzERt3Qq_xtoKK4" TargetMode="External"/><Relationship Id="rId375" Type="http://schemas.openxmlformats.org/officeDocument/2006/relationships/hyperlink" Target="https://www.google.com/maps/search/?api=1&amp;query_place_id=ChIJ4wdUcQA_bzER_OIb-gZEhps" TargetMode="External"/><Relationship Id="rId3" Type="http://schemas.openxmlformats.org/officeDocument/2006/relationships/hyperlink" Target="https://www.google.com/maps/search/?api=1&amp;query_place_id=ChIJM0suonk9bzERg6qhlqobluY" TargetMode="External"/><Relationship Id="rId235" Type="http://schemas.openxmlformats.org/officeDocument/2006/relationships/hyperlink" Target="https://www.google.com/maps/search/?api=1&amp;query=S%C3%A2n%20b%C3%B3ng%20%26%20c%C3%A0%20ph%C3%AA%20To%C3%A0n%20Th%E1%BA%AFng%2C%2020%20Tr%E1%BA%A7n%20Th%E1%BB%8B%20K%E1%BB%B7%2C%20ph%C6%B0%E1%BB%9Dng%20B%C3%ACnh%20%C4%90%E1%BB%8Bnh%2C%20t%E1%BB%89nh%20Gia%20Lai" TargetMode="External"/><Relationship Id="rId277" Type="http://schemas.openxmlformats.org/officeDocument/2006/relationships/hyperlink" Target="https://www.google.com/maps/search/?api=1&amp;query_place_id=ChIJeZmMuBg-bzERBlZFOhgH9aw" TargetMode="External"/><Relationship Id="rId400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442" Type="http://schemas.openxmlformats.org/officeDocument/2006/relationships/hyperlink" Target="https://www.google.com/maps/search/?api=1&amp;query=M%E1%BA%A7m%20non%20T%C6%B0%C6%A1ng%20Lai%2C%2078%20AH1%2C%20ph%C6%B0%E1%BB%9Dng%20B%C3%ACnh%20%C4%90%E1%BB%8Bnh%2C%20t%E1%BB%89nh%20Gia%20Lai" TargetMode="External"/><Relationship Id="rId484" Type="http://schemas.openxmlformats.org/officeDocument/2006/relationships/hyperlink" Target="https://www.google.com/maps/search/?api=1&amp;query=Tr%C6%B0%E1%BB%9Dng%20Ti%E1%BB%83u%20h%E1%BB%8Dc%20Nh%C6%A1n%20Ph%C3%BAc%2C%20W25H%2BP64%2C%20th%C3%B4n%20M%E1%BB%B9%20Th%E1%BA%A1nh%2C%20ph%C6%B0%E1%BB%9Dng%20B%C3%ACnh%20%C4%90%E1%BB%8Bnh%2C%20t%E1%BB%89nh%20Gia%20Lai" TargetMode="External"/><Relationship Id="rId137" Type="http://schemas.openxmlformats.org/officeDocument/2006/relationships/hyperlink" Target="https://tinhthanhvn.com/bando/gia-lai/phuong-binh-dinh" TargetMode="External"/><Relationship Id="rId302" Type="http://schemas.openxmlformats.org/officeDocument/2006/relationships/hyperlink" Target="https://tinhthanhvn.com/bando/gia-lai/phuong-binh-dinh" TargetMode="External"/><Relationship Id="rId344" Type="http://schemas.openxmlformats.org/officeDocument/2006/relationships/hyperlink" Target="https://tinhthanhvn.com/bando/gia-lai/phuong-binh-dinh" TargetMode="External"/><Relationship Id="rId41" Type="http://schemas.openxmlformats.org/officeDocument/2006/relationships/hyperlink" Target="https://tinhthanhvn.com/bando/gia-lai/phuong-binh-dinh" TargetMode="External"/><Relationship Id="rId83" Type="http://schemas.openxmlformats.org/officeDocument/2006/relationships/hyperlink" Target="https://tinhthanhvn.com/bando/gia-lai/phuong-binh-dinh" TargetMode="External"/><Relationship Id="rId179" Type="http://schemas.openxmlformats.org/officeDocument/2006/relationships/hyperlink" Target="https://tinhthanhvn.com/bando/gia-lai/phuong-binh-dinh" TargetMode="External"/><Relationship Id="rId386" Type="http://schemas.openxmlformats.org/officeDocument/2006/relationships/hyperlink" Target="https://tinhthanhvn.com/bando/gia-lai/phuong-binh-dinh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%C4%90%E1%BB%8Ba%20%C4%91i%E1%BB%83m%20nh%C3%A0%20th%E1%BA%A7y%20Tr%C6%B0%C6%A1ng%20V%C4%83n%20Hi%E1%BA%BFn%2C%20Th%C3%B4n%20Th%E1%BA%AFng%20C%C3%B4ng%2C%20ph%C6%B0%E1%BB%9Dng%20B%C3%ACnh%20%C4%90%E1%BB%8Bnh%2C%20t%E1%BB%89nh%20Gia%20Lai%20%28x%C3%A3%20Nh%C6%A1n%20Ph%C3%BAc%20c%C5%A9%29" TargetMode="External"/><Relationship Id="rId13" Type="http://schemas.openxmlformats.org/officeDocument/2006/relationships/hyperlink" Target="https://congbao.gialai.gov.vn/congbao/congbao.nsf/70E7DA9FCA87F07B88258D96001301F5/$file/529_signed.pdf" TargetMode="External"/><Relationship Id="rId3" Type="http://schemas.openxmlformats.org/officeDocument/2006/relationships/hyperlink" Target="https://congbao.gialai.gov.vn/congbao/congbao.nsf/70E7DA9FCA87F07B88258D96001301F5/$file/529_signed.pdf" TargetMode="External"/><Relationship Id="rId7" Type="http://schemas.openxmlformats.org/officeDocument/2006/relationships/hyperlink" Target="https://binhdinh.gov.vn/upload/2005340/20231212/4420_qd_2023_72af7.pdf" TargetMode="External"/><Relationship Id="rId12" Type="http://schemas.openxmlformats.org/officeDocument/2006/relationships/hyperlink" Target="https://www.google.com/maps/search/?api=1&amp;query=Ph%E1%BA%BF%20t%C3%ADch%20th%C3%A1p%20Th%C3%B4ng%20H%C3%B2a%2C%20Th%C3%B4n%20Th%C3%B4ng%20H%C3%B2a%2C%20ph%C6%B0%E1%BB%9Dng%20B%C3%ACnh%20%C4%90%E1%BB%8Bnh%2C%20t%E1%BB%89nh%20Gia%20Lai" TargetMode="External"/><Relationship Id="rId2" Type="http://schemas.openxmlformats.org/officeDocument/2006/relationships/hyperlink" Target="https://www.google.com/maps/search/?api=1&amp;query_place_id=ChIJM0suonk9bzERg6qhlqobluY" TargetMode="External"/><Relationship Id="rId16" Type="http://schemas.openxmlformats.org/officeDocument/2006/relationships/hyperlink" Target="https://www.google.com/maps/search/?api=1&amp;query=T%E1%BB%AB%20%C4%91%C6%B0%E1%BB%9Dng%20b%C3%AAn%20ngo%E1%BA%A1i%20vua%20Duy%20T%C3%A2n%2C%20Khu%20v%E1%BB%B1c%20Kim%20Ch%C3%A2u%2C%20ph%C6%B0%E1%BB%9Dng%20B%C3%ACnh%20%C4%90%E1%BB%8Bnh%2C%20t%E1%BB%89nh%20Gia%20Lai" TargetMode="External"/><Relationship Id="rId1" Type="http://schemas.openxmlformats.org/officeDocument/2006/relationships/hyperlink" Target="https://congbao.gialai.gov.vn/congbao/congbao.nsf/70E7DA9FCA87F07B88258D96001301F5/$file/529_signed.pdf" TargetMode="External"/><Relationship Id="rId6" Type="http://schemas.openxmlformats.org/officeDocument/2006/relationships/hyperlink" Target="https://www.google.com/maps/search/?api=1&amp;query_place_id=ChIJAyUuOQAVbzER3m0lew4CZug" TargetMode="External"/><Relationship Id="rId11" Type="http://schemas.openxmlformats.org/officeDocument/2006/relationships/hyperlink" Target="https://congbao.gialai.gov.vn/congbao/congbao.nsf/70E7DA9FCA87F07B88258D96001301F5/$file/529_signed.pdf" TargetMode="External"/><Relationship Id="rId5" Type="http://schemas.openxmlformats.org/officeDocument/2006/relationships/hyperlink" Target="https://binhdinh.gov.vn/upload/2005340/20231212/4420_qd_2023_72af7.pdf" TargetMode="External"/><Relationship Id="rId15" Type="http://schemas.openxmlformats.org/officeDocument/2006/relationships/hyperlink" Target="https://congbao.gialai.gov.vn/congbao/congbao.nsf/70E7DA9FCA87F07B88258D96001301F5/$file/529_signed.pdf" TargetMode="External"/><Relationship Id="rId10" Type="http://schemas.openxmlformats.org/officeDocument/2006/relationships/hyperlink" Target="https://www.google.com/maps/search/?api=1&amp;query=Ph%E1%BA%BF%20t%C3%ADch%20th%C3%A1p%20An%20H%C3%B2a%2C%20Th%C3%B4n%20An%20H%C3%B2a%2C%20ph%C6%B0%E1%BB%9Dng%20B%C3%ACnh%20%C4%90%E1%BB%8Bnh%2C%20t%E1%BB%89nh%20Gia%20Lai%3B%20khu%20v%E1%BB%B1c%20ven%20%C4%91%C6%B0%E1%BB%9Dng%20636" TargetMode="External"/><Relationship Id="rId4" Type="http://schemas.openxmlformats.org/officeDocument/2006/relationships/hyperlink" Target="https://www.google.com/maps/search/?api=1&amp;query=Ch%C3%B9a%20Ng%C5%A9%20bang%20H%E1%BB%99i%20qu%C3%A1n%20%28An%20Th%C3%A1i%29%2C%20Th%C3%B4n%20An%20Th%C3%A1i%2C%20ph%C6%B0%E1%BB%9Dng%20B%C3%ACnh%20%C4%90%E1%BB%8Bnh%2C%20t%E1%BB%89nh%20Gia%20Lai" TargetMode="External"/><Relationship Id="rId9" Type="http://schemas.openxmlformats.org/officeDocument/2006/relationships/hyperlink" Target="https://congbao.gialai.gov.vn/congbao/congbao.nsf/70E7DA9FCA87F07B88258D96001301F5/$file/529_signed.pdf" TargetMode="External"/><Relationship Id="rId14" Type="http://schemas.openxmlformats.org/officeDocument/2006/relationships/hyperlink" Target="https://www.google.com/maps/search/?api=1&amp;query_place_id=ChIJGZ9j5xw-bzERbZ7vFj3z438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_place_id=ChIJ19Fwq4oVbzEROT1IB1sbhn4" TargetMode="External"/><Relationship Id="rId21" Type="http://schemas.openxmlformats.org/officeDocument/2006/relationships/hyperlink" Target="https://thuvienphapluat.vn/ma-so-thue/cong-an-phuong-binh-dinh-mst-4101652619.html" TargetMode="External"/><Relationship Id="rId42" Type="http://schemas.openxmlformats.org/officeDocument/2006/relationships/hyperlink" Target="https://www.google.com/maps/search/?api=1&amp;query=B%C3%A1ch%20H%C3%B3a%20Xanh%20111-113%20Tr%E1%BA%A7n%20Ph%C3%BA%2C%20111-113%20Tr%E1%BA%A7n%20Ph%C3%BA%2C%20ph%C6%B0%E1%BB%9Dng%20B%C3%ACnh%20%C4%90%E1%BB%8Bnh%2C%20t%E1%BB%89nh%20Gia%20Lai" TargetMode="External"/><Relationship Id="rId63" Type="http://schemas.openxmlformats.org/officeDocument/2006/relationships/hyperlink" Target="https://www.google.com/maps/search/?api=1&amp;query=LPBank%20PGD%20B%C6%B0u%20%C4%91i%E1%BB%87n%20An%20Nh%C6%A1n%2C%20397%20Tr%E1%BA%A7n%20Ph%C3%BA%2C%20ph%C6%B0%E1%BB%9Dng%20B%C3%ACnh%20%C4%90%E1%BB%8Bnh%2C%20t%E1%BB%89nh%20Gia%20Lai" TargetMode="External"/><Relationship Id="rId84" Type="http://schemas.openxmlformats.org/officeDocument/2006/relationships/hyperlink" Target="https://www.google.com/maps/search/?api=1&amp;query=SCB%20An%20Nh%C6%A1n%2C%20105%20Tr%E1%BA%A7n%20Ph%C3%BA%2C%20ph%C6%B0%E1%BB%9Dng%20B%C3%ACnh%20%C4%90%E1%BB%8Bnh%2C%20t%E1%BB%89nh%20Gia%20Lai" TargetMode="External"/><Relationship Id="rId138" Type="http://schemas.openxmlformats.org/officeDocument/2006/relationships/hyperlink" Target="https://www.google.com/maps/search/?api=1&amp;query_place_id=ChIJGZ5po6w_bzERVDKVkqmmg6M" TargetMode="External"/><Relationship Id="rId159" Type="http://schemas.openxmlformats.org/officeDocument/2006/relationships/hyperlink" Target="https://www.google.com/maps/search/?api=1&amp;query_place_id=ChIJXSdHK14_bzERR32BjnaFQsk" TargetMode="External"/><Relationship Id="rId170" Type="http://schemas.openxmlformats.org/officeDocument/2006/relationships/hyperlink" Target="https://www.google.com/maps/search/?api=1&amp;query_place_id=ChIJgycv4a4VbzERKMh-YFjTEPk" TargetMode="External"/><Relationship Id="rId191" Type="http://schemas.openxmlformats.org/officeDocument/2006/relationships/hyperlink" Target="https://www.google.com/maps/search/?api=1&amp;query_place_id=ChIJz0OFATU_bzERgICoBQcHsoA" TargetMode="External"/><Relationship Id="rId107" Type="http://schemas.openxmlformats.org/officeDocument/2006/relationships/hyperlink" Target="https://www.google.com/maps/search/?api=1&amp;query=Trung%20t%C3%A2m%20Ph%C3%A1t%20tri%E1%BB%83n%20gi%C3%A1o%20d%E1%BB%A5c%20%C3%81nh%20D%C6%B0%C6%A1ng%2C%2002%20Ch%E1%BA%BF%20Lan%20Vi%C3%AAn%2C%20ph%C6%B0%E1%BB%9Dng%20B%C3%ACnh%20%C4%90%E1%BB%8Bnh%2C%20t%E1%BB%89nh%20Gia%20Lai" TargetMode="External"/><Relationship Id="rId11" Type="http://schemas.openxmlformats.org/officeDocument/2006/relationships/hyperlink" Target="https://gialai.hdbank.com.vn/" TargetMode="External"/><Relationship Id="rId32" Type="http://schemas.openxmlformats.org/officeDocument/2006/relationships/hyperlink" Target="https://www.google.com/maps/search/?api=1&amp;query=ATM%20ACB%20An%20Nh%C6%A1n%2C%20303%20Tr%E1%BA%A7n%20Ph%C3%BA%2C%20ph%C6%B0%E1%BB%9Dng%20B%C3%ACnh%20%C4%90%E1%BB%8Bnh%2C%20t%E1%BB%89nh%20Gia%20Lai" TargetMode="External"/><Relationship Id="rId53" Type="http://schemas.openxmlformats.org/officeDocument/2006/relationships/hyperlink" Target="https://www.google.com/maps/search/?api=1&amp;query=Ch%C3%B9a%20Ng%C5%A9%20bang%20H%E1%BB%99i%20qu%C3%A1n%20%28An%20Th%C3%A1i%29%2C%20Th%C3%B4n%20An%20Th%C3%A1i%2C%20ph%C6%B0%E1%BB%9Dng%20B%C3%ACnh%20%C4%90%E1%BB%8Bnh%2C%20t%E1%BB%89nh%20Gia%20Lai" TargetMode="External"/><Relationship Id="rId74" Type="http://schemas.openxmlformats.org/officeDocument/2006/relationships/hyperlink" Target="https://www.google.com/maps/search/?api=1&amp;query=Nha%20khoa%20T%C3%A2m%20Ph%C3%BAc%2C%2018%20L%C3%AA%20H%E1%BB%93ng%20Phong%2C%20ph%C6%B0%E1%BB%9Dng%20B%C3%ACnh%20%C4%90%E1%BB%8Bnh%2C%20t%E1%BB%89nh%20Gia%20Lai" TargetMode="External"/><Relationship Id="rId128" Type="http://schemas.openxmlformats.org/officeDocument/2006/relationships/hyperlink" Target="https://www.google.com/maps/search/?api=1&amp;query_place_id=ChIJAR3qIuw9bzERD51dugj530Q" TargetMode="External"/><Relationship Id="rId149" Type="http://schemas.openxmlformats.org/officeDocument/2006/relationships/hyperlink" Target="https://www.google.com/maps/search/?api=1&amp;query_place_id=ChIJPRHLyBg-bzER0QMGUrdHLvg" TargetMode="External"/><Relationship Id="rId5" Type="http://schemas.openxmlformats.org/officeDocument/2006/relationships/hyperlink" Target="https://binhdinh.gialai.gov.vn/" TargetMode="External"/><Relationship Id="rId95" Type="http://schemas.openxmlformats.org/officeDocument/2006/relationships/hyperlink" Target="https://www.google.com/maps/search/?api=1&amp;query=Tr%C6%B0%E1%BB%9Dng%20THCS%20B%C3%ACnh%20%C4%90%E1%BB%8Bnh%2C%20V4M4%2BXP3%2C%20%C4%91%C6%B0%E1%BB%9Dng%20Tr%E1%BA%A7n%20Th%E1%BB%8B%20K%E1%BB%B7%2C%20ph%C6%B0%E1%BB%9Dng%20B%C3%ACnh%20%C4%90%E1%BB%8Bnh%2C%20t%E1%BB%89nh%20Gia%20Lai" TargetMode="External"/><Relationship Id="rId160" Type="http://schemas.openxmlformats.org/officeDocument/2006/relationships/hyperlink" Target="https://www.google.com/maps/search/?api=1&amp;query_place_id=ChIJXVAK9hs-bzERpl-tSruQJeI" TargetMode="External"/><Relationship Id="rId181" Type="http://schemas.openxmlformats.org/officeDocument/2006/relationships/hyperlink" Target="https://www.google.com/maps/search/?api=1&amp;query_place_id=ChIJoQmuTfg_bzERxpzhzqiPmCE" TargetMode="External"/><Relationship Id="rId22" Type="http://schemas.openxmlformats.org/officeDocument/2006/relationships/hyperlink" Target="https://timbankvn.com/tim-chi-nhanh/acb-pgd-an-nhon/" TargetMode="External"/><Relationship Id="rId43" Type="http://schemas.openxmlformats.org/officeDocument/2006/relationships/hyperlink" Target="https://www.google.com/maps/search/?api=1&amp;query=Ban%20Qu%E1%BA%A3n%20l%C3%BD%20c%C3%A1c%20d%E1%BB%8Bch%20v%E1%BB%A5%20%C4%91%C3%B4%20th%E1%BB%8B%20An%20Nh%C6%A1n%2C%20399%20Tr%E1%BA%A7n%20Ph%C3%BA%2C%20Ph%C6%B0%E1%BB%9Dng%20B%C3%ACnh%20%C4%90%E1%BB%8Bnh%2C%20T%E1%BB%89nh%20Gia%20Lai" TargetMode="External"/><Relationship Id="rId64" Type="http://schemas.openxmlformats.org/officeDocument/2006/relationships/hyperlink" Target="https://www.google.com/maps/search/?api=1&amp;query=M%C3%AC%20b%C3%B2%20%C4%90%C3%A0i%20Loan%2C%2011%20Phan%20%C4%90%C3%ACnh%20Ph%C3%B9ng%2C%20ph%C6%B0%E1%BB%9Dng%20B%C3%ACnh%20%C4%90%E1%BB%8Bnh%2C%20t%E1%BB%89nh%20Gia%20Lai" TargetMode="External"/><Relationship Id="rId118" Type="http://schemas.openxmlformats.org/officeDocument/2006/relationships/hyperlink" Target="https://www.google.com/maps/search/?api=1&amp;query_place_id=ChIJ1f2vzR4-bzERohVm5PRMTec" TargetMode="External"/><Relationship Id="rId139" Type="http://schemas.openxmlformats.org/officeDocument/2006/relationships/hyperlink" Target="https://www.google.com/maps/search/?api=1&amp;query_place_id=ChIJGZ9j5xw-bzERbZ7vFj3z438" TargetMode="External"/><Relationship Id="rId85" Type="http://schemas.openxmlformats.org/officeDocument/2006/relationships/hyperlink" Target="https://www.google.com/maps/search/?api=1&amp;query=SKY%20Coffee%2C%2002%20Phan%20%C4%90%C3%ACnh%20Ph%C3%B9ng%2C%20ph%C6%B0%E1%BB%9Dng%20B%C3%ACnh%20%C4%90%E1%BB%8Bnh%2C%20t%E1%BB%89nh%20Gia%20Lai" TargetMode="External"/><Relationship Id="rId150" Type="http://schemas.openxmlformats.org/officeDocument/2006/relationships/hyperlink" Target="https://www.google.com/maps/search/?api=1&amp;query_place_id=ChIJPUFBWwAVbzEROJlNjm3xiwg" TargetMode="External"/><Relationship Id="rId171" Type="http://schemas.openxmlformats.org/officeDocument/2006/relationships/hyperlink" Target="https://www.google.com/maps/search/?api=1&amp;query_place_id=ChIJh4yDumU_bzERLpSPtLTkJC0" TargetMode="External"/><Relationship Id="rId192" Type="http://schemas.openxmlformats.org/officeDocument/2006/relationships/hyperlink" Target="https://www.google.com/maps/search/?api=1&amp;query_place_id=ChIJz8tDnKc_bzERIOQhwWi6xfM" TargetMode="External"/><Relationship Id="rId12" Type="http://schemas.openxmlformats.org/officeDocument/2006/relationships/hyperlink" Target="https://gpquinhon.org/nghe-thuat-thanh/gioi-thieu-hinh-anh-nha-tho-giao-xu-kim-chau-345.html" TargetMode="External"/><Relationship Id="rId33" Type="http://schemas.openxmlformats.org/officeDocument/2006/relationships/hyperlink" Target="https://www.google.com/maps/search/?api=1&amp;query=ATM%20Agribank%20-%20320%20Tr%E1%BA%A7n%20Ph%C3%BA%2C%20320%20Tr%E1%BA%A7n%20Ph%C3%BA%2C%20ph%C6%B0%E1%BB%9Dng%20B%C3%ACnh%20%C4%90%E1%BB%8Bnh%2C%20t%E1%BB%89nh%20Gia%20Lai" TargetMode="External"/><Relationship Id="rId108" Type="http://schemas.openxmlformats.org/officeDocument/2006/relationships/hyperlink" Target="https://www.google.com/maps/search/?api=1&amp;query=Trung%20t%C3%A2m%20ph%E1%BB%A5c%20v%E1%BB%A5%20h%C3%A0nh%20ch%C3%ADnh%20c%C3%B4ng%20ph%C6%B0%E1%BB%9Dng%20B%C3%ACnh%20%C4%90%E1%BB%8Bnh%2C%2079%20L%C3%AA%20H%E1%BB%93ng%20Phong%2C%20Ph%C6%B0%E1%BB%9Dng%20B%C3%ACnh%20%C4%90%E1%BB%8Bnh%2C%20T%E1%BB%89nh%20Gia%20Lai" TargetMode="External"/><Relationship Id="rId129" Type="http://schemas.openxmlformats.org/officeDocument/2006/relationships/hyperlink" Target="https://www.google.com/maps/search/?api=1&amp;query_place_id=ChIJAyUuOQAVbzER3m0lew4CZug" TargetMode="External"/><Relationship Id="rId54" Type="http://schemas.openxmlformats.org/officeDocument/2006/relationships/hyperlink" Target="https://www.google.com/maps/search/?api=1&amp;query=Doong%20Cha%2C%2004%20H%C3%A0m%20Nghi%2C%20ph%C6%B0%E1%BB%9Dng%20B%C3%ACnh%20%C4%90%E1%BB%8Bnh%2C%20t%E1%BB%89nh%20Gia%20Lai" TargetMode="External"/><Relationship Id="rId75" Type="http://schemas.openxmlformats.org/officeDocument/2006/relationships/hyperlink" Target="https://www.google.com/maps/search/?api=1&amp;query=Nha%20khoa%20Th%C3%A0nh%20%C4%90%E1%BA%A1t%203%20-%20CN%20Nh%C6%A1n%20Ph%C3%BAc%2C%20124%20An%20Th%C3%A1i%20-%20Nh%C6%A1n%20Ph%C3%BAc%2C%20ph%C6%B0%E1%BB%9Dng%20B%C3%ACnh%20%C4%90%E1%BB%8Bnh%2C%20t%E1%BB%89nh%20Gia%20Lai" TargetMode="External"/><Relationship Id="rId96" Type="http://schemas.openxmlformats.org/officeDocument/2006/relationships/hyperlink" Target="https://www.google.com/maps/search/?api=1&amp;query=Tr%C6%B0%E1%BB%9Dng%20THCS%20Nh%C6%A1n%20Kh%C3%A1nh%2C%20V3R8%2BFQ9%2C%20ph%C6%B0%E1%BB%9Dng%20B%C3%ACnh%20%C4%90%E1%BB%8Bnh%2C%20t%E1%BB%89nh%20Gia%20Lai" TargetMode="External"/><Relationship Id="rId140" Type="http://schemas.openxmlformats.org/officeDocument/2006/relationships/hyperlink" Target="https://www.google.com/maps/search/?api=1&amp;query_place_id=ChIJIyZyXrA9bzERPaK1aoWcbkY" TargetMode="External"/><Relationship Id="rId161" Type="http://schemas.openxmlformats.org/officeDocument/2006/relationships/hyperlink" Target="https://www.google.com/maps/search/?api=1&amp;query_place_id=ChIJXb_cOyI-bzEROee4ql0FaqE" TargetMode="External"/><Relationship Id="rId182" Type="http://schemas.openxmlformats.org/officeDocument/2006/relationships/hyperlink" Target="https://www.google.com/maps/search/?api=1&amp;query_place_id=ChIJp0AWlpo_bzERXayad0g2FMc" TargetMode="External"/><Relationship Id="rId6" Type="http://schemas.openxmlformats.org/officeDocument/2006/relationships/hyperlink" Target="https://binhdinh.gialai.gov.vn/tin-tuc/phuong-binh-dinh-to-chuc-hoi-nghi-lay-y-kien-du-thao-de-an-sap-xep-to-chuc-lai-cac-to-dan-pho.html" TargetMode="External"/><Relationship Id="rId23" Type="http://schemas.openxmlformats.org/officeDocument/2006/relationships/hyperlink" Target="https://timbankvn.com/tim-chi-nhanh/mbbank-pgd-an-nhon/" TargetMode="External"/><Relationship Id="rId119" Type="http://schemas.openxmlformats.org/officeDocument/2006/relationships/hyperlink" Target="https://www.google.com/maps/search/?api=1&amp;query_place_id=ChIJ30Hzth8-bzERV55IjzEjzfY" TargetMode="External"/><Relationship Id="rId44" Type="http://schemas.openxmlformats.org/officeDocument/2006/relationships/hyperlink" Target="https://www.google.com/maps/search/?api=1&amp;query=Ban%20Qu%E1%BA%A3n%20l%C3%BD%20ph%C6%B0%E1%BB%9Dng%20B%C3%ACnh%20%C4%90%E1%BB%8Bnh%2C%2077%20L%C3%AA%20H%E1%BB%93ng%20Phong%2C%20Ph%C6%B0%E1%BB%9Dng%20B%C3%ACnh%20%C4%90%E1%BB%8Bnh%2C%20T%E1%BB%89nh%20Gia%20Lai" TargetMode="External"/><Relationship Id="rId65" Type="http://schemas.openxmlformats.org/officeDocument/2006/relationships/hyperlink" Target="https://www.google.com/maps/search/?api=1&amp;query=M%E1%BA%A7m%20non%20Nh%C6%A1n%20Kh%C3%A1nh%20-%20%C4%91i%E1%BB%83m%20Quan%20Quang%2C%20Khu%20v%E1%BB%B1c%20Quan%20Quang%2C%20ph%C6%B0%E1%BB%9Dng%20B%C3%ACnh%20%C4%90%E1%BB%8Bnh%2C%20t%E1%BB%89nh%20Gia%20Lai" TargetMode="External"/><Relationship Id="rId86" Type="http://schemas.openxmlformats.org/officeDocument/2006/relationships/hyperlink" Target="https://www.google.com/maps/search/?api=1&amp;query=Si%C3%AAu%20th%E1%BB%8B%20Nh%C3%A0%20s%C3%A1ch%20B%C3%ACnh%20%C4%90%E1%BB%8Bnh%2C%20V4Q7%2BR4C%2C%20Tr%E1%BA%A7n%20Ph%C3%BA%2C%20ph%C6%B0%E1%BB%9Dng%20B%C3%ACnh%20%C4%90%E1%BB%8Bnh%2C%20t%E1%BB%89nh%20Gia%20Lai" TargetMode="External"/><Relationship Id="rId130" Type="http://schemas.openxmlformats.org/officeDocument/2006/relationships/hyperlink" Target="https://www.google.com/maps/search/?api=1&amp;query_place_id=ChIJB-TMFwA_bzERmr4BlrxA04s" TargetMode="External"/><Relationship Id="rId151" Type="http://schemas.openxmlformats.org/officeDocument/2006/relationships/hyperlink" Target="https://www.google.com/maps/search/?api=1&amp;query_place_id=ChIJQ9cM_R4-bzERK3mAAotoPxc" TargetMode="External"/><Relationship Id="rId172" Type="http://schemas.openxmlformats.org/officeDocument/2006/relationships/hyperlink" Target="https://www.google.com/maps/search/?api=1&amp;query_place_id=ChIJhV6uoRg-bzERLadUCN1hYMc" TargetMode="External"/><Relationship Id="rId13" Type="http://schemas.openxmlformats.org/officeDocument/2006/relationships/hyperlink" Target="https://hdbank.com.vn/vi/contact" TargetMode="External"/><Relationship Id="rId18" Type="http://schemas.openxmlformats.org/officeDocument/2006/relationships/hyperlink" Target="https://sotayvang.com/pgd-an-nhon-cn-phu-tai-ngan-hang-tmcp-dau-tu-phat-trien-viet-nam-bidv-tt-binh-dinh/" TargetMode="External"/><Relationship Id="rId39" Type="http://schemas.openxmlformats.org/officeDocument/2006/relationships/hyperlink" Target="https://www.google.com/maps/search/?api=1&amp;query=ATM%20VPBank%20An%20Nh%C6%A1n%2C%2046%20Ng%C3%B4%20Gia%20T%E1%BB%B1%2C%20ph%C6%B0%E1%BB%9Dng%20B%C3%ACnh%20%C4%90%E1%BB%8Bnh%2C%20t%E1%BB%89nh%20Gia%20Lai" TargetMode="External"/><Relationship Id="rId109" Type="http://schemas.openxmlformats.org/officeDocument/2006/relationships/hyperlink" Target="https://www.google.com/maps/search/?api=1&amp;query=VNPT%20An%20Nh%C6%A1n%2C%20229%20Tr%E1%BA%A7n%20Ph%C3%BA%2C%20ph%C6%B0%E1%BB%9Dng%20B%C3%ACnh%20%C4%90%E1%BB%8Bnh%2C%20t%E1%BB%89nh%20Gia%20Lai" TargetMode="External"/><Relationship Id="rId34" Type="http://schemas.openxmlformats.org/officeDocument/2006/relationships/hyperlink" Target="https://www.google.com/maps/search/?api=1&amp;query=ATM%20Agribank%20-%20418%20Tr%E1%BA%A7n%20Ph%C3%BA%2C%20418%20Tr%E1%BA%A7n%20Ph%C3%BA%2C%20ph%C6%B0%E1%BB%9Dng%20B%C3%ACnh%20%C4%90%E1%BB%8Bnh%2C%20t%E1%BB%89nh%20Gia%20Lai" TargetMode="External"/><Relationship Id="rId50" Type="http://schemas.openxmlformats.org/officeDocument/2006/relationships/hyperlink" Target="https://www.google.com/maps/search/?api=1&amp;query=Ch%C3%B9a%20%C3%94ng%20An%20Th%C3%A1i%2C%20Th%C3%B4n%20An%20Th%C3%A1i%2C%20ph%C6%B0%E1%BB%9Dng%20B%C3%ACnh%20%C4%90%E1%BB%8Bnh%2C%20t%E1%BB%89nh%20Gia%20Lai" TargetMode="External"/><Relationship Id="rId55" Type="http://schemas.openxmlformats.org/officeDocument/2006/relationships/hyperlink" Target="https://www.google.com/maps/search/?api=1&amp;query=Karaoke%20Bin%20Bin%2C%20135%20Thanh%20Ni%C3%AAn%2C%20ph%C6%B0%E1%BB%9Dng%20B%C3%ACnh%20%C4%90%E1%BB%8Bnh%2C%20t%E1%BB%89nh%20Gia%20Lai" TargetMode="External"/><Relationship Id="rId76" Type="http://schemas.openxmlformats.org/officeDocument/2006/relationships/hyperlink" Target="https://www.google.com/maps/search/?api=1&amp;query=PH%E1%BB%9E%20TI%E1%BB%80N%2C%20134%20Tr%E1%BA%A7n%20Ph%C3%BA%2C%20ph%C6%B0%E1%BB%9Dng%20B%C3%ACnh%20%C4%90%E1%BB%8Bnh%2C%20t%E1%BB%89nh%20Gia%20Lai" TargetMode="External"/><Relationship Id="rId97" Type="http://schemas.openxmlformats.org/officeDocument/2006/relationships/hyperlink" Target="https://www.google.com/maps/search/?api=1&amp;query=Tr%C6%B0%E1%BB%9Dng%20THCS%20Nh%C6%A1n%20Ph%C3%BAc%2C%2035%20An%20Th%C3%A1i%201%2C%20ph%C6%B0%E1%BB%9Dng%20B%C3%ACnh%20%C4%90%E1%BB%8Bnh%2C%20t%E1%BB%89nh%20Gia%20Lai" TargetMode="External"/><Relationship Id="rId104" Type="http://schemas.openxmlformats.org/officeDocument/2006/relationships/hyperlink" Target="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" TargetMode="External"/><Relationship Id="rId120" Type="http://schemas.openxmlformats.org/officeDocument/2006/relationships/hyperlink" Target="https://www.google.com/maps/search/?api=1&amp;query_place_id=ChIJ3YnNnQo_bzEReHa0GsoIZBY" TargetMode="External"/><Relationship Id="rId125" Type="http://schemas.openxmlformats.org/officeDocument/2006/relationships/hyperlink" Target="https://www.google.com/maps/search/?api=1&amp;query_place_id=ChIJ86BCA_cVbzERB3oi0LU-hHQ" TargetMode="External"/><Relationship Id="rId141" Type="http://schemas.openxmlformats.org/officeDocument/2006/relationships/hyperlink" Target="https://www.google.com/maps/search/?api=1&amp;query_place_id=ChIJJ97Mxgo_bzER28p9Rh0CPrE" TargetMode="External"/><Relationship Id="rId146" Type="http://schemas.openxmlformats.org/officeDocument/2006/relationships/hyperlink" Target="https://www.google.com/maps/search/?api=1&amp;query_place_id=ChIJLfP4ZFg_bzERXPL4xNAiFXc" TargetMode="External"/><Relationship Id="rId167" Type="http://schemas.openxmlformats.org/officeDocument/2006/relationships/hyperlink" Target="https://www.google.com/maps/search/?api=1&amp;query_place_id=ChIJdYqVm1vFaDERxQVvct4EjJk" TargetMode="External"/><Relationship Id="rId188" Type="http://schemas.openxmlformats.org/officeDocument/2006/relationships/hyperlink" Target="https://www.google.com/maps/search/?api=1&amp;query_place_id=ChIJxUuoyo49bzERnrv3IREG8vE" TargetMode="External"/><Relationship Id="rId7" Type="http://schemas.openxmlformats.org/officeDocument/2006/relationships/hyperlink" Target="https://binhdinh.gialai.gov.vn/tin-tuc/van-hoa-xa-hoi/phuong-binh-dinh-tong-ket-nam-hoc-2025-2026-trien-khai-nhiem-vu-nam-hoc-2026-2027.html" TargetMode="External"/><Relationship Id="rId71" Type="http://schemas.openxmlformats.org/officeDocument/2006/relationships/hyperlink" Target="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" TargetMode="External"/><Relationship Id="rId92" Type="http://schemas.openxmlformats.org/officeDocument/2006/relationships/hyperlink" Target="https://www.google.com/maps/search/?api=1&amp;query=Tr%C6%B0%E1%BB%9Dng%20M%E1%BA%A7m%20non%20B%C3%ACnh%20%C4%90%E1%BB%8Bnh%2C%2034%20%C4%91%C6%B0%E1%BB%9Dng%2030%20Th%C3%A1ng%203%2C%20ph%C6%B0%E1%BB%9Dng%20B%C3%ACnh%20%C4%90%E1%BB%8Bnh%2C%20t%E1%BB%89nh%20Gia%20Lai" TargetMode="External"/><Relationship Id="rId162" Type="http://schemas.openxmlformats.org/officeDocument/2006/relationships/hyperlink" Target="https://www.google.com/maps/search/?api=1&amp;query_place_id=ChIJYW5pGgAVbzERJ55VkO9hONQ" TargetMode="External"/><Relationship Id="rId183" Type="http://schemas.openxmlformats.org/officeDocument/2006/relationships/hyperlink" Target="https://www.google.com/maps/search/?api=1&amp;query_place_id=ChIJp2pxhfUVbzERFn0g5qDT81g" TargetMode="External"/><Relationship Id="rId2" Type="http://schemas.openxmlformats.org/officeDocument/2006/relationships/hyperlink" Target="https://baogialai.com.vn/tuong-nho-ton-vinh-thay-giao-hien-post423886.html" TargetMode="External"/><Relationship Id="rId29" Type="http://schemas.openxmlformats.org/officeDocument/2006/relationships/hyperlink" Target="https://www.google.com/maps/search/?api=1&amp;query=%C4%90%E1%BB%8Ba%20%C4%91i%E1%BB%83m%20nh%C3%A0%20th%E1%BA%A7y%20Tr%C6%B0%C6%A1ng%20V%C4%83n%20Hi%E1%BA%BFn%2C%20Th%C3%B4n%20Th%E1%BA%AFng%20C%C3%B4ng%2C%20ph%C6%B0%E1%BB%9Dng%20B%C3%ACnh%20%C4%90%E1%BB%8Bnh%2C%20t%E1%BB%89nh%20Gia%20Lai%20%28x%C3%A3%20Nh%C6%A1n%20Ph%C3%BAc%20c%C5%A9%29" TargetMode="External"/><Relationship Id="rId24" Type="http://schemas.openxmlformats.org/officeDocument/2006/relationships/hyperlink" Target="https://timbankvn.com/tim-chi-nhanh/vietcombank-pgd-an-nhon/" TargetMode="External"/><Relationship Id="rId40" Type="http://schemas.openxmlformats.org/officeDocument/2006/relationships/hyperlink" Target="https://www.google.com/maps/search/?api=1&amp;query=ATM%20Vietcombank%20An%20Nh%C6%A1n%2C%20194-196%20Ng%C3%B4%20Gia%20T%E1%BB%B1%2C%20ph%C6%B0%E1%BB%9Dng%20B%C3%ACnh%20%C4%90%E1%BB%8Bnh%2C%20t%E1%BB%89nh%20Gia%20Lai" TargetMode="External"/><Relationship Id="rId45" Type="http://schemas.openxmlformats.org/officeDocument/2006/relationships/hyperlink" Target="https://www.google.com/maps/search/?api=1&amp;query=Billiards%20NT%20B%C3%ACnh%20%C4%90%E1%BB%8Bnh%2C%20V4Q2%2BFFX%2C%20ph%C6%B0%E1%BB%9Dng%20B%C3%ACnh%20%C4%90%E1%BB%8Bnh%2C%20t%E1%BB%89nh%20Gia%20Lai" TargetMode="External"/><Relationship Id="rId66" Type="http://schemas.openxmlformats.org/officeDocument/2006/relationships/hyperlink" Target="https://www.google.com/maps/search/?api=1&amp;query=M%E1%BA%A7m%20non%20T%C6%B0%C6%A1ng%20Lai%2C%2078%20AH1%2C%20ph%C6%B0%E1%BB%9Dng%20B%C3%ACnh%20%C4%90%E1%BB%8Bnh%2C%20t%E1%BB%89nh%20Gia%20Lai" TargetMode="External"/><Relationship Id="rId87" Type="http://schemas.openxmlformats.org/officeDocument/2006/relationships/hyperlink" Target="https://www.google.com/maps/search/?api=1&amp;query=T%E1%BB%AB%20%C4%91%C6%B0%E1%BB%9Dng%20b%C3%AAn%20ngo%E1%BA%A1i%20vua%20Duy%20T%C3%A2n%2C%20Khu%20v%E1%BB%B1c%20Kim%20Ch%C3%A2u%2C%20ph%C6%B0%E1%BB%9Dng%20B%C3%ACnh%20%C4%90%E1%BB%8Bnh%2C%20t%E1%BB%89nh%20Gia%20Lai" TargetMode="External"/><Relationship Id="rId110" Type="http://schemas.openxmlformats.org/officeDocument/2006/relationships/hyperlink" Target="https://www.google.com/maps/search/?api=1&amp;query=VPBank%20An%20Nh%C6%A1n%2C%2046%20Ng%C3%B4%20Gia%20T%E1%BB%B1%2C%20ph%C6%B0%E1%BB%9Dng%20B%C3%ACnh%20%C4%90%E1%BB%8Bnh%2C%20t%E1%BB%89nh%20Gia%20Lai" TargetMode="External"/><Relationship Id="rId115" Type="http://schemas.openxmlformats.org/officeDocument/2006/relationships/hyperlink" Target="https://www.google.com/maps/search/?api=1&amp;query_place_id=ChIJ-cD1OQA9bzER3gc-xOtK6m4" TargetMode="External"/><Relationship Id="rId131" Type="http://schemas.openxmlformats.org/officeDocument/2006/relationships/hyperlink" Target="https://www.google.com/maps/search/?api=1&amp;query_place_id=ChIJB4GeRwA_bzER6qy8Uz-VVHc" TargetMode="External"/><Relationship Id="rId136" Type="http://schemas.openxmlformats.org/officeDocument/2006/relationships/hyperlink" Target="https://www.google.com/maps/search/?api=1&amp;query_place_id=ChIJEVTPuUM9bzERd5KhbdP2qhE" TargetMode="External"/><Relationship Id="rId157" Type="http://schemas.openxmlformats.org/officeDocument/2006/relationships/hyperlink" Target="https://www.google.com/maps/search/?api=1&amp;query_place_id=ChIJT8ZqU_QVbzERt3PUFfz9qhc" TargetMode="External"/><Relationship Id="rId178" Type="http://schemas.openxmlformats.org/officeDocument/2006/relationships/hyperlink" Target="https://www.google.com/maps/search/?api=1&amp;query_place_id=ChIJm492JR0-bzER5Hy6QPe5GhE" TargetMode="External"/><Relationship Id="rId61" Type="http://schemas.openxmlformats.org/officeDocument/2006/relationships/hyperlink" Target="https://www.google.com/maps/search/?api=1&amp;query=L%C3%A0ng%20v%C3%B5%20An%20Th%C3%A1i%2C%20Khu%20v%E1%BB%B1c%20An%20Th%C3%A1i%2C%20ph%C6%B0%E1%BB%9Dng%20B%C3%ACnh%20%C4%90%E1%BB%8Bnh%2C%20t%E1%BB%89nh%20Gia%20Lai" TargetMode="External"/><Relationship Id="rId82" Type="http://schemas.openxmlformats.org/officeDocument/2006/relationships/hyperlink" Target="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" TargetMode="External"/><Relationship Id="rId152" Type="http://schemas.openxmlformats.org/officeDocument/2006/relationships/hyperlink" Target="https://www.google.com/maps/search/?api=1&amp;query_place_id=ChIJRakpgRg-bzERBGSUsUY1psE" TargetMode="External"/><Relationship Id="rId173" Type="http://schemas.openxmlformats.org/officeDocument/2006/relationships/hyperlink" Target="https://www.google.com/maps/search/?api=1&amp;query_place_id=ChIJk-4fo4I_bzERCrLZviLgCpg" TargetMode="External"/><Relationship Id="rId19" Type="http://schemas.openxmlformats.org/officeDocument/2006/relationships/hyperlink" Target="https://sotayvang.com/vietcombank-quy-nhon-pgd-an-nhon-tt-binh-dinh/" TargetMode="External"/><Relationship Id="rId14" Type="http://schemas.openxmlformats.org/officeDocument/2006/relationships/hyperlink" Target="https://masothue.com/4101427275-truong-mam-non-nhon-khanh" TargetMode="External"/><Relationship Id="rId30" Type="http://schemas.openxmlformats.org/officeDocument/2006/relationships/hyperlink" Target="https://www.google.com/maps/search/?api=1&amp;query=%E1%BA%A8m%20Th%E1%BB%B1c%20S%C6%A1%20Ri%20B%C3%ACnh%20%C4%90%E1%BB%8Bnh%2C%20V4M7%2BFVM%2C%20Phan%20%C4%90%C3%ACnh%20Ph%C3%B9ng%2C%20ph%C6%B0%E1%BB%9Dng%20B%C3%ACnh%20%C4%90%E1%BB%8Bnh%2C%20t%E1%BB%89nh%20Gia%20Lai" TargetMode="External"/><Relationship Id="rId35" Type="http://schemas.openxmlformats.org/officeDocument/2006/relationships/hyperlink" Target="https://www.google.com/maps/search/?api=1&amp;query=ATM%20BIDV%20An%20Nh%C6%A1n%2C%20220%20Tr%E1%BA%A7n%20Ph%C3%BA%2C%20ph%C6%B0%E1%BB%9Dng%20B%C3%ACnh%20%C4%90%E1%BB%8Bnh%2C%20t%E1%BB%89nh%20Gia%20Lai" TargetMode="External"/><Relationship Id="rId56" Type="http://schemas.openxmlformats.org/officeDocument/2006/relationships/hyperlink" Target="https://www.google.com/maps/search/?api=1&amp;query=Karaoke%20Ki%E1%BB%81u%20Vy%2C%20117%20Thanh%20Ni%C3%AAn%2C%20ph%C6%B0%E1%BB%9Dng%20B%C3%ACnh%20%C4%90%E1%BB%8Bnh%2C%20t%E1%BB%89nh%20Gia%20Lai" TargetMode="External"/><Relationship Id="rId77" Type="http://schemas.openxmlformats.org/officeDocument/2006/relationships/hyperlink" Target="https://www.google.com/maps/search/?api=1&amp;query=Ph%E1%BA%BF%20t%C3%ADch%20th%C3%A1p%20An%20H%C3%B2a%2C%20Th%C3%B4n%20An%20H%C3%B2a%2C%20ph%C6%B0%E1%BB%9Dng%20B%C3%ACnh%20%C4%90%E1%BB%8Bnh%2C%20t%E1%BB%89nh%20Gia%20Lai%3B%20khu%20v%E1%BB%B1c%20ven%20%C4%91%C6%B0%E1%BB%9Dng%20636" TargetMode="External"/><Relationship Id="rId100" Type="http://schemas.openxmlformats.org/officeDocument/2006/relationships/hyperlink" Target="https://www.google.com/maps/search/?api=1&amp;query=Tr%C6%B0%E1%BB%9Dng%20Ti%E1%BB%83u%20h%E1%BB%8Dc%20Nh%C6%A1n%20Kh%C3%A1nh%2C%20V3R8%2B3XW%2C%20Kh%C3%A1nh%20H%C3%B2a%2C%20ph%C6%B0%E1%BB%9Dng%20B%C3%ACnh%20%C4%90%E1%BB%8Bnh%2C%20t%E1%BB%89nh%20Gia%20Lai" TargetMode="External"/><Relationship Id="rId105" Type="http://schemas.openxmlformats.org/officeDocument/2006/relationships/hyperlink" Target="https://www.google.com/maps/search/?api=1&amp;query=Trung%20t%C3%A2m%20Ch%C3%ADnh%20tr%E1%BB%8B%20ph%C6%B0%E1%BB%9Dng%20B%C3%ACnh%20%C4%90%E1%BB%8Bnh%2C%2059%20L%C3%AA%20H%E1%BB%93ng%20Phong%2C%20Ph%C6%B0%E1%BB%9Dng%20B%C3%ACnh%20%C4%90%E1%BB%8Bnh%2C%20T%E1%BB%89nh%20Gia%20Lai" TargetMode="External"/><Relationship Id="rId126" Type="http://schemas.openxmlformats.org/officeDocument/2006/relationships/hyperlink" Target="https://www.google.com/maps/search/?api=1&amp;query_place_id=ChIJ9T_BkR4-bzERtn_WlLi8GgE" TargetMode="External"/><Relationship Id="rId147" Type="http://schemas.openxmlformats.org/officeDocument/2006/relationships/hyperlink" Target="https://www.google.com/maps/search/?api=1&amp;query_place_id=ChIJM0suonk9bzERg6qhlqobluY" TargetMode="External"/><Relationship Id="rId168" Type="http://schemas.openxmlformats.org/officeDocument/2006/relationships/hyperlink" Target="https://www.google.com/maps/search/?api=1&amp;query_place_id=ChIJe-f0UwY_bzERHt91NyNuOHc" TargetMode="External"/><Relationship Id="rId8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51" Type="http://schemas.openxmlformats.org/officeDocument/2006/relationships/hyperlink" Target="https://www.google.com/maps/search/?api=1&amp;query=Ch%C3%B9a%20An%20H%C3%B2a%20%28Ch%C3%B9a%20B%C3%A0%20Tr%C6%B0%E1%BB%9Bc%29%2C%20Th%C3%B4n%20An%20Th%C3%A1i%2C%20ph%C6%B0%E1%BB%9Dng%20B%C3%ACnh%20%C4%90%E1%BB%8Bnh%2C%20t%E1%BB%89nh%20Gia%20Lai" TargetMode="External"/><Relationship Id="rId72" Type="http://schemas.openxmlformats.org/officeDocument/2006/relationships/hyperlink" Target="https://www.google.com/maps/search/?api=1&amp;query=Nha%20Khoa%20%C4%90%C3%B4ng%20Nam%20%C3%81%2C%2084%20Tr%E1%BA%A7n%20Ph%C3%BA%2C%20ph%C6%B0%E1%BB%9Dng%20B%C3%ACnh%20%C4%90%E1%BB%8Bnh%2C%20t%E1%BB%89nh%20Gia%20Lai" TargetMode="External"/><Relationship Id="rId93" Type="http://schemas.openxmlformats.org/officeDocument/2006/relationships/hyperlink" Target="https://www.google.com/maps/search/?api=1&amp;query=Tr%C6%B0%E1%BB%9Dng%20M%E1%BA%A7m%20non%20Nh%C6%A1n%20Kh%C3%A1nh%2C%20T%E1%BB%95%20d%C3%A2n%20ph%E1%BB%91%20An%20H%C3%B2a%20/%20khu%20v%E1%BB%B1c%20Kh%C3%A1nh%20H%C3%B2a%2C%20ph%C6%B0%E1%BB%9Dng%20B%C3%ACnh%20%C4%90%E1%BB%8Bnh%2C%20t%E1%BB%89nh%20Gia%20Lai" TargetMode="External"/><Relationship Id="rId98" Type="http://schemas.openxmlformats.org/officeDocument/2006/relationships/hyperlink" Target="https://www.google.com/maps/search/?api=1&amp;query=Tr%C6%B0%E1%BB%9Dng%20THPT%20Nguy%E1%BB%85n%20%C4%90%C3%ACnh%20Chi%E1%BB%83u%2C%20108%20Nguy%E1%BB%85n%20%C4%90%C3%ACnh%20Chi%E1%BB%83u%2C%20ph%C6%B0%E1%BB%9Dng%20B%C3%ACnh%20%C4%90%E1%BB%8Bnh%2C%20t%E1%BB%89nh%20Gia%20Lai" TargetMode="External"/><Relationship Id="rId121" Type="http://schemas.openxmlformats.org/officeDocument/2006/relationships/hyperlink" Target="https://www.google.com/maps/search/?api=1&amp;query_place_id=ChIJ4QDl2B4-bzEREcKTBqnf83g" TargetMode="External"/><Relationship Id="rId142" Type="http://schemas.openxmlformats.org/officeDocument/2006/relationships/hyperlink" Target="https://www.google.com/maps/search/?api=1&amp;query_place_id=ChIJKTmRDowVbzERZzpteDw7olc" TargetMode="External"/><Relationship Id="rId163" Type="http://schemas.openxmlformats.org/officeDocument/2006/relationships/hyperlink" Target="https://www.google.com/maps/search/?api=1&amp;query_place_id=ChIJ_V1iZgA9bzERDLWyZn0LDvQ" TargetMode="External"/><Relationship Id="rId184" Type="http://schemas.openxmlformats.org/officeDocument/2006/relationships/hyperlink" Target="https://www.google.com/maps/search/?api=1&amp;query_place_id=ChIJpV5JO0M9bzERBgNAVmviqYM" TargetMode="External"/><Relationship Id="rId189" Type="http://schemas.openxmlformats.org/officeDocument/2006/relationships/hyperlink" Target="https://www.google.com/maps/search/?api=1&amp;query_place_id=ChIJy-lGKgA9bzERLue_BuXaXZs" TargetMode="External"/><Relationship Id="rId3" Type="http://schemas.openxmlformats.org/officeDocument/2006/relationships/hyperlink" Target="https://baovanhoa.vn/van-hoa/toa-dam-khoi-phuc-le-hoi-do-gian-an-thai-101273.html" TargetMode="External"/><Relationship Id="rId25" Type="http://schemas.openxmlformats.org/officeDocument/2006/relationships/hyperlink" Target="https://tinbds.com/gia-lai/phuong-binh-dinh" TargetMode="External"/><Relationship Id="rId46" Type="http://schemas.openxmlformats.org/officeDocument/2006/relationships/hyperlink" Target="https://www.google.com/maps/search/?api=1&amp;query=C%C3%B4ng%20vi%C3%AAn%20ph%E1%BB%91%20ch%E1%BB%A3%20An%20Nh%C6%A1n%2C%20V4R4%2B48H%2C%20ph%C6%B0%E1%BB%9Dng%20B%C3%ACnh%20%C4%90%E1%BB%8Bnh%2C%20t%E1%BB%89nh%20Gia%20Lai" TargetMode="External"/><Relationship Id="rId67" Type="http://schemas.openxmlformats.org/officeDocument/2006/relationships/hyperlink" Target="https://www.google.com/maps/search/?api=1&amp;query=NX%20GYM%2C%2038%20Phan%20%C4%90%C3%ACnh%20Ph%C3%B9ng%2C%20ph%C6%B0%E1%BB%9Dng%20B%C3%ACnh%20%C4%90%E1%BB%8Bnh%2C%20t%E1%BB%89nh%20Gia%20Lai" TargetMode="External"/><Relationship Id="rId116" Type="http://schemas.openxmlformats.org/officeDocument/2006/relationships/hyperlink" Target="https://www.google.com/maps/search/?api=1&amp;query_place_id=ChIJ0yputWg9bzERsJqkSfWiMzY" TargetMode="External"/><Relationship Id="rId137" Type="http://schemas.openxmlformats.org/officeDocument/2006/relationships/hyperlink" Target="https://www.google.com/maps/search/?api=1&amp;query_place_id=ChIJGQUDOoY9bzERBPfOZWh3Yko" TargetMode="External"/><Relationship Id="rId158" Type="http://schemas.openxmlformats.org/officeDocument/2006/relationships/hyperlink" Target="https://www.google.com/maps/search/?api=1&amp;query_place_id=ChIJW02Dw_kUbzERuHub-uQX7hQ" TargetMode="External"/><Relationship Id="rId20" Type="http://schemas.openxmlformats.org/officeDocument/2006/relationships/hyperlink" Target="https://thptnguyendinhchieu-gialai.edu.vn/" TargetMode="External"/><Relationship Id="rId41" Type="http://schemas.openxmlformats.org/officeDocument/2006/relationships/hyperlink" Target="https://www.google.com/maps/search/?api=1&amp;query=Agribank%20An%20Nh%C6%A1n%2C%20418%20Tr%E1%BA%A7n%20Ph%C3%BA%2C%20ph%C6%B0%E1%BB%9Dng%20B%C3%ACnh%20%C4%90%E1%BB%8Bnh%2C%20t%E1%BB%89nh%20Gia%20Lai" TargetMode="External"/><Relationship Id="rId62" Type="http://schemas.openxmlformats.org/officeDocument/2006/relationships/hyperlink" Target="https://www.google.com/maps/search/?api=1&amp;query=LPBank%20An%20Nh%C6%A1n%2C%20162%20Tr%E1%BA%A7n%20Ph%C3%BA%2C%20ph%C6%B0%E1%BB%9Dng%20B%C3%ACnh%20%C4%90%E1%BB%8Bnh%2C%20t%E1%BB%89nh%20Gia%20Lai" TargetMode="External"/><Relationship Id="rId83" Type="http://schemas.openxmlformats.org/officeDocument/2006/relationships/hyperlink" Target="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" TargetMode="External"/><Relationship Id="rId88" Type="http://schemas.openxmlformats.org/officeDocument/2006/relationships/hyperlink" Target="https://www.google.com/maps/search/?api=1&amp;query=T%E1%BB%AB%20%C4%91%C6%B0%E1%BB%9Dng%20c%E1%BB%91%20danh%20s%C6%B0%20v%C3%B5%20h%E1%BB%8Dc%20Di%E1%BB%87p%20Tr%C6%B0%E1%BB%9Dng%20Ph%C3%A1t%2C%20Khu%20v%E1%BB%B1c%20An%20Th%C3%A1i%2C%20ph%C6%B0%E1%BB%9Dng%20B%C3%ACnh%20%C4%90%E1%BB%8Bnh%2C%20t%E1%BB%89nh%20Gia%20Lai" TargetMode="External"/><Relationship Id="rId111" Type="http://schemas.openxmlformats.org/officeDocument/2006/relationships/hyperlink" Target="https://www.google.com/maps/search/?api=1&amp;query=VietABank%20An%20Nh%C6%A1n%2C%20187%20Tr%E1%BA%A7n%20Ph%C3%BA%2C%20ph%C6%B0%E1%BB%9Dng%20B%C3%ACnh%20%C4%90%E1%BB%8Bnh%2C%20t%E1%BB%89nh%20Gia%20Lai" TargetMode="External"/><Relationship Id="rId132" Type="http://schemas.openxmlformats.org/officeDocument/2006/relationships/hyperlink" Target="https://www.google.com/maps/search/?api=1&amp;query_place_id=ChIJB8NNMns9bzERZ5fEAwDa_w0" TargetMode="External"/><Relationship Id="rId153" Type="http://schemas.openxmlformats.org/officeDocument/2006/relationships/hyperlink" Target="https://www.google.com/maps/search/?api=1&amp;query_place_id=ChIJSZ7_Q3E-bzERGmNcEJFlnNE" TargetMode="External"/><Relationship Id="rId174" Type="http://schemas.openxmlformats.org/officeDocument/2006/relationships/hyperlink" Target="https://www.google.com/maps/search/?api=1&amp;query_place_id=ChIJk_G4DRc_bzERIX1AthXCpIc" TargetMode="External"/><Relationship Id="rId179" Type="http://schemas.openxmlformats.org/officeDocument/2006/relationships/hyperlink" Target="https://www.google.com/maps/search/?api=1&amp;query_place_id=ChIJmVkNShw-bzERe2khdK_t_rk" TargetMode="External"/><Relationship Id="rId190" Type="http://schemas.openxmlformats.org/officeDocument/2006/relationships/hyperlink" Target="https://www.google.com/maps/search/?api=1&amp;query_place_id=ChIJy5NVKBk-bzERIvLzR-FV8nc" TargetMode="External"/><Relationship Id="rId15" Type="http://schemas.openxmlformats.org/officeDocument/2006/relationships/hyperlink" Target="https://rexannhon.vn/nha-hang-alacarte/" TargetMode="External"/><Relationship Id="rId36" Type="http://schemas.openxmlformats.org/officeDocument/2006/relationships/hyperlink" Target="https://www.google.com/maps/search/?api=1&amp;query=ATM%20HDBank%20An%20Nh%C6%A1n%2C%20146-148%20Ng%C3%B4%20Gia%20T%E1%BB%B1%2C%20ph%C6%B0%E1%BB%9Dng%20B%C3%ACnh%20%C4%90%E1%BB%8Bnh%2C%20t%E1%BB%89nh%20Gia%20Lai" TargetMode="External"/><Relationship Id="rId57" Type="http://schemas.openxmlformats.org/officeDocument/2006/relationships/hyperlink" Target="https://www.google.com/maps/search/?api=1&amp;query=Karaoke%20Kim%20Thoa%2C%20W23J%2B6H%2C%20khu%20v%E1%BB%B1c%20Nh%C6%A1n%20Ph%C3%BAc%20c%C5%A9%2C%20ph%C6%B0%E1%BB%9Dng%20B%C3%ACnh%20%C4%90%E1%BB%8Bnh%2C%20t%E1%BB%89nh%20Gia%20Lai" TargetMode="External"/><Relationship Id="rId106" Type="http://schemas.openxmlformats.org/officeDocument/2006/relationships/hyperlink" Target="https://www.google.com/maps/search/?api=1&amp;query=Trung%20t%C3%A2m%20GDNN-GDTX%20An%20Nh%C6%A1n%2C%2031%20Tr%E1%BA%A7n%20Th%E1%BB%8B%20K%E1%BB%B7%2C%20ph%C6%B0%E1%BB%9Dng%20B%C3%ACnh%20%C4%90%E1%BB%8Bnh%2C%20t%E1%BB%89nh%20Gia%20Lai" TargetMode="External"/><Relationship Id="rId127" Type="http://schemas.openxmlformats.org/officeDocument/2006/relationships/hyperlink" Target="https://www.google.com/maps/search/?api=1&amp;query_place_id=ChIJA5nU9AI9bzERXaLFMyoZcq4" TargetMode="External"/><Relationship Id="rId10" Type="http://schemas.openxmlformats.org/officeDocument/2006/relationships/hyperlink" Target="https://congbao.gialai.gov.vn/congbao/congbao.nsf/70E7DA9FCA87F07B88258D96001301F5/$file/529_signed.pdf" TargetMode="External"/><Relationship Id="rId31" Type="http://schemas.openxmlformats.org/officeDocument/2006/relationships/hyperlink" Target="https://www.google.com/maps/search/?api=1&amp;query=%E1%BB%A6y%20ban%20MTTQ%20Vi%E1%BB%87t%20Nam%20ph%C6%B0%E1%BB%9Dng%20B%C3%ACnh%20%C4%90%E1%BB%8Bnh%2C%2002%20Ph%E1%BA%A1m%20H%E1%BB%93ng%20Th%C3%A1i%2C%20Ph%C6%B0%E1%BB%9Dng%20B%C3%ACnh%20%C4%90%E1%BB%8Bnh%2C%20T%E1%BB%89nh%20Gia%20Lai" TargetMode="External"/><Relationship Id="rId52" Type="http://schemas.openxmlformats.org/officeDocument/2006/relationships/hyperlink" Target="https://www.google.com/maps/search/?api=1&amp;query=Ch%C3%B9a%20B%C3%A0%20H%E1%BB%8Fa%20%28Ch%C3%B9a%20B%C3%A0%20Sau%29%2C%20Th%C3%B4n%20An%20Th%C3%A1i%2C%20ph%C6%B0%E1%BB%9Dng%20B%C3%ACnh%20%C4%90%E1%BB%8Bnh%2C%20t%E1%BB%89nh%20Gia%20Lai" TargetMode="External"/><Relationship Id="rId73" Type="http://schemas.openxmlformats.org/officeDocument/2006/relationships/hyperlink" Target="https://www.google.com/maps/search/?api=1&amp;query=Nha%20Khoa%20T%C3%A2m%20An%2C%20105%20Tr%E1%BA%A7n%20Ph%C3%BA%2C%20ph%C6%B0%E1%BB%9Dng%20B%C3%ACnh%20%C4%90%E1%BB%8Bnh%2C%20t%E1%BB%89nh%20Gia%20Lai" TargetMode="External"/><Relationship Id="rId78" Type="http://schemas.openxmlformats.org/officeDocument/2006/relationships/hyperlink" Target="https://www.google.com/maps/search/?api=1&amp;query=Ph%E1%BA%BF%20t%C3%ADch%20th%C3%A1p%20Th%C3%B4ng%20H%C3%B2a%2C%20Th%C3%B4n%20Th%C3%B4ng%20H%C3%B2a%2C%20ph%C6%B0%E1%BB%9Dng%20B%C3%ACnh%20%C4%90%E1%BB%8Bnh%2C%20t%E1%BB%89nh%20Gia%20Lai" TargetMode="External"/><Relationship Id="rId94" Type="http://schemas.openxmlformats.org/officeDocument/2006/relationships/hyperlink" Target="https://www.google.com/maps/search/?api=1&amp;query=Tr%C6%B0%E1%BB%9Dng%20M%E1%BA%A7m%20non%20Nh%C6%A1n%20Ph%C3%BAc%2C%20W249%2B8HX%2C%20th%C3%B4n%20An%20Th%C3%A1i%2C%20ph%C6%B0%E1%BB%9Dng%20B%C3%ACnh%20%C4%90%E1%BB%8Bnh%2C%20t%E1%BB%89nh%20Gia%20Lai" TargetMode="External"/><Relationship Id="rId99" Type="http://schemas.openxmlformats.org/officeDocument/2006/relationships/hyperlink" Target="https://www.google.com/maps/search/?api=1&amp;query=Tr%C6%B0%E1%BB%9Dng%20THPT%20S%E1%BB%91%201%20An%20Nh%C6%A1n%2C%2089%20L%C3%AA%20H%E1%BB%93ng%20Phong%2C%20ph%C6%B0%E1%BB%9Dng%20B%C3%ACnh%20%C4%90%E1%BB%8Bnh%2C%20t%E1%BB%89nh%20Gia%20Lai" TargetMode="External"/><Relationship Id="rId101" Type="http://schemas.openxmlformats.org/officeDocument/2006/relationships/hyperlink" Target="https://www.google.com/maps/search/?api=1&amp;query=Tr%C6%B0%E1%BB%9Dng%20Ti%E1%BB%83u%20h%E1%BB%8Dc%20Nh%C6%A1n%20Ph%C3%BAc%2C%20W25H%2BP64%2C%20th%C3%B4n%20M%E1%BB%B9%20Th%E1%BA%A1nh%2C%20ph%C6%B0%E1%BB%9Dng%20B%C3%ACnh%20%C4%90%E1%BB%8Bnh%2C%20t%E1%BB%89nh%20Gia%20Lai" TargetMode="External"/><Relationship Id="rId122" Type="http://schemas.openxmlformats.org/officeDocument/2006/relationships/hyperlink" Target="https://www.google.com/maps/search/?api=1&amp;query_place_id=ChIJ4wdUcQA_bzER_OIb-gZEhps" TargetMode="External"/><Relationship Id="rId143" Type="http://schemas.openxmlformats.org/officeDocument/2006/relationships/hyperlink" Target="https://www.google.com/maps/search/?api=1&amp;query_place_id=ChIJKXiWuB4-bzERqepOz7TtkqM" TargetMode="External"/><Relationship Id="rId148" Type="http://schemas.openxmlformats.org/officeDocument/2006/relationships/hyperlink" Target="https://www.google.com/maps/search/?api=1&amp;query_place_id=ChIJNcccEl09bzERRTEr0ux9NXU" TargetMode="External"/><Relationship Id="rId164" Type="http://schemas.openxmlformats.org/officeDocument/2006/relationships/hyperlink" Target="https://www.google.com/maps/search/?api=1&amp;query_place_id=ChIJa1naAx8-bzERKzsT9fPxkYs" TargetMode="External"/><Relationship Id="rId169" Type="http://schemas.openxmlformats.org/officeDocument/2006/relationships/hyperlink" Target="https://www.google.com/maps/search/?api=1&amp;query_place_id=ChIJeZmMuBg-bzERBlZFOhgH9aw" TargetMode="External"/><Relationship Id="rId185" Type="http://schemas.openxmlformats.org/officeDocument/2006/relationships/hyperlink" Target="https://www.google.com/maps/search/?api=1&amp;query_place_id=ChIJtfF4eAA_bzERFzkhc7jjfME" TargetMode="External"/><Relationship Id="rId4" Type="http://schemas.openxmlformats.org/officeDocument/2006/relationships/hyperlink" Target="https://bidv.nganhangs.com/chi-nhanh/binh-dinh/an-nhon/duong-tran-phu/pgd-an-nhon_c43" TargetMode="External"/><Relationship Id="rId9" Type="http://schemas.openxmlformats.org/officeDocument/2006/relationships/hyperlink" Target="https://binhdinh.gov.vn/upload/2005340/20231212/4420_qd_2023_72af7.pdf" TargetMode="External"/><Relationship Id="rId180" Type="http://schemas.openxmlformats.org/officeDocument/2006/relationships/hyperlink" Target="https://www.google.com/maps/search/?api=1&amp;query_place_id=ChIJo4MuU789bzERTxonaVU4jAw" TargetMode="External"/><Relationship Id="rId26" Type="http://schemas.openxmlformats.org/officeDocument/2006/relationships/hyperlink" Target="https://tinhthanhvn.com/bando/gia-lai/phuong-binh-dinh" TargetMode="External"/><Relationship Id="rId47" Type="http://schemas.openxmlformats.org/officeDocument/2006/relationships/hyperlink" Target="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" TargetMode="External"/><Relationship Id="rId68" Type="http://schemas.openxmlformats.org/officeDocument/2006/relationships/hyperlink" Target="https://www.google.com/maps/search/?api=1&amp;query=Nam%20A%20Bank%20An%20Nh%C6%A1n%2C%20138%20Tr%E1%BA%A7n%20Ph%C3%BA%2C%20ph%C6%B0%E1%BB%9Dng%20B%C3%ACnh%20%C4%90%E1%BB%8Bnh%2C%20t%E1%BB%89nh%20Gia%20Lai" TargetMode="External"/><Relationship Id="rId89" Type="http://schemas.openxmlformats.org/officeDocument/2006/relationships/hyperlink" Target="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" TargetMode="External"/><Relationship Id="rId112" Type="http://schemas.openxmlformats.org/officeDocument/2006/relationships/hyperlink" Target="https://www.google.com/maps/search/?api=1&amp;query=Viettel%20Telecom%20An%20Nh%C6%A1n%2C%20271%20Tr%E1%BA%A7n%20Ph%C3%BA%2C%20ph%C6%B0%E1%BB%9Dng%20B%C3%ACnh%20%C4%90%E1%BB%8Bnh%2C%20t%E1%BB%89nh%20Gia%20Lai" TargetMode="External"/><Relationship Id="rId133" Type="http://schemas.openxmlformats.org/officeDocument/2006/relationships/hyperlink" Target="https://www.google.com/maps/search/?api=1&amp;query_place_id=ChIJBY9sYO0_bzERZVH1Eevcc5I" TargetMode="External"/><Relationship Id="rId154" Type="http://schemas.openxmlformats.org/officeDocument/2006/relationships/hyperlink" Target="https://www.google.com/maps/search/?api=1&amp;query_place_id=ChIJSfD2Ya8_bzERahwWUJr4N_c" TargetMode="External"/><Relationship Id="rId175" Type="http://schemas.openxmlformats.org/officeDocument/2006/relationships/hyperlink" Target="https://www.google.com/maps/search/?api=1&amp;query_place_id=ChIJkddN1dc_bzERlswdPZOWi_s" TargetMode="External"/><Relationship Id="rId16" Type="http://schemas.openxmlformats.org/officeDocument/2006/relationships/hyperlink" Target="https://sotayvang.com/khach-san-century-tt-binh-dinh/" TargetMode="External"/><Relationship Id="rId37" Type="http://schemas.openxmlformats.org/officeDocument/2006/relationships/hyperlink" Target="https://www.google.com/maps/search/?api=1&amp;query=ATM%20KienlongBank%20An%20Nh%C6%A1n%2C%20254%20Ng%C3%B4%20Gia%20T%E1%BB%B1%2C%20ph%C6%B0%E1%BB%9Dng%20B%C3%ACnh%20%C4%90%E1%BB%8Bnh%2C%20t%E1%BB%89nh%20Gia%20Lai" TargetMode="External"/><Relationship Id="rId58" Type="http://schemas.openxmlformats.org/officeDocument/2006/relationships/hyperlink" Target="https://www.google.com/maps/search/?api=1&amp;query=Kho%20b%E1%BA%A1c%20Nh%C3%A0%20n%C6%B0%E1%BB%9Bc%20An%20Nh%C6%A1n%2C%20542%20Tr%E1%BA%A7n%20Ph%C3%BA%2C%20ph%C6%B0%E1%BB%9Dng%20B%C3%ACnh%20%C4%90%E1%BB%8Bnh%2C%20t%E1%BB%89nh%20Gia%20Lai" TargetMode="External"/><Relationship Id="rId79" Type="http://schemas.openxmlformats.org/officeDocument/2006/relationships/hyperlink" Target="https://www.google.com/maps/search/?api=1&amp;query=Qu%C3%A1n%20%C4%82n%20H%C6%B0%E1%BB%9Dng%202%2C%2002%20Nguy%E1%BB%85n%20%C4%90%C3%ACnh%20Chi%E1%BB%83u%2C%20B%C3%ACnh%20%C4%90%E1%BB%8Bnh%2C%20Gia%20Lai" TargetMode="External"/><Relationship Id="rId102" Type="http://schemas.openxmlformats.org/officeDocument/2006/relationships/hyperlink" Target="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" TargetMode="External"/><Relationship Id="rId123" Type="http://schemas.openxmlformats.org/officeDocument/2006/relationships/hyperlink" Target="https://www.google.com/maps/search/?api=1&amp;query_place_id=ChIJ5QgWqCk_bzERbH6hZp2nC20" TargetMode="External"/><Relationship Id="rId144" Type="http://schemas.openxmlformats.org/officeDocument/2006/relationships/hyperlink" Target="https://www.google.com/maps/search/?api=1&amp;query_place_id=ChIJLbLP-nU_bzERLJs2Tn9W8Ok" TargetMode="External"/><Relationship Id="rId90" Type="http://schemas.openxmlformats.org/officeDocument/2006/relationships/hyperlink" Target="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" TargetMode="External"/><Relationship Id="rId165" Type="http://schemas.openxmlformats.org/officeDocument/2006/relationships/hyperlink" Target="https://www.google.com/maps/search/?api=1&amp;query_place_id=ChIJa5y9LEY_bzERLfiVucW6Vr4" TargetMode="External"/><Relationship Id="rId186" Type="http://schemas.openxmlformats.org/officeDocument/2006/relationships/hyperlink" Target="https://www.google.com/maps/search/?api=1&amp;query_place_id=ChIJvTj7mHMWbzERt3Qq_xtoKK4" TargetMode="External"/><Relationship Id="rId27" Type="http://schemas.openxmlformats.org/officeDocument/2006/relationships/hyperlink" Target="https://www.google.com.vn/travel/hotels/entity/ChoI17yi-pjmyOb2ARoNL2cvMTFwcjFtczFkMxAB" TargetMode="External"/><Relationship Id="rId48" Type="http://schemas.openxmlformats.org/officeDocument/2006/relationships/hyperlink" Target="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" TargetMode="External"/><Relationship Id="rId69" Type="http://schemas.openxmlformats.org/officeDocument/2006/relationships/hyperlink" Target="https://www.google.com/maps/search/?api=1&amp;query=Nh%C3%A0%20V%C4%83n%20h%C3%B3a%20x%C3%A3%20Nh%C6%A1n%20Kh%C3%A1nh%20c%C5%A9%2C%20Khu%20v%E1%BB%B1c%20Nh%C6%A1n%20Kh%C3%A1nh%20c%C5%A9%2C%20ph%C6%B0%E1%BB%9Dng%20B%C3%ACnh%20%C4%90%E1%BB%8Bnh%2C%20t%E1%BB%89nh%20Gia%20Lai" TargetMode="External"/><Relationship Id="rId113" Type="http://schemas.openxmlformats.org/officeDocument/2006/relationships/hyperlink" Target="https://www.google.com/maps/search/?api=1&amp;query=WinMart%2B%20206%20Tr%E1%BA%A7n%20Ph%C3%BA%2C%20206%20Tr%E1%BA%A7n%20Ph%C3%BA%2C%20ph%C6%B0%E1%BB%9Dng%20B%C3%ACnh%20%C4%90%E1%BB%8Bnh%2C%20t%E1%BB%89nh%20Gia%20Lai" TargetMode="External"/><Relationship Id="rId134" Type="http://schemas.openxmlformats.org/officeDocument/2006/relationships/hyperlink" Target="https://www.google.com/maps/search/?api=1&amp;query_place_id=ChIJC9zs6Sw_bzERL9BXJGKTNwQ" TargetMode="External"/><Relationship Id="rId80" Type="http://schemas.openxmlformats.org/officeDocument/2006/relationships/hyperlink" Target="https://www.google.com/maps/search/?api=1&amp;query=Qu%C3%A1n%202%20Kh%C3%A1nh%2C%2032%20%C4%90%C3%A0o%20Duy%20T%E1%BB%AB%2C%20ph%C6%B0%E1%BB%9Dng%20B%C3%ACnh%20%C4%90%E1%BB%8Bnh%2C%20t%E1%BB%89nh%20Gia%20Lai" TargetMode="External"/><Relationship Id="rId155" Type="http://schemas.openxmlformats.org/officeDocument/2006/relationships/hyperlink" Target="https://www.google.com/maps/search/?api=1&amp;query_place_id=ChIJSw3nL3s_bzER56X5hgP7ENc" TargetMode="External"/><Relationship Id="rId176" Type="http://schemas.openxmlformats.org/officeDocument/2006/relationships/hyperlink" Target="https://www.google.com/maps/search/?api=1&amp;query_place_id=ChIJl-z55Ys9bzERk8aJxPzYM7I" TargetMode="External"/><Relationship Id="rId17" Type="http://schemas.openxmlformats.org/officeDocument/2006/relationships/hyperlink" Target="https://sotayvang.com/ngan-hang-chinh-sach-xa-hoi-thi-xa-an-nhon-vbsp-tt-binh-dinh/" TargetMode="External"/><Relationship Id="rId38" Type="http://schemas.openxmlformats.org/officeDocument/2006/relationships/hyperlink" Target="https://www.google.com/maps/search/?api=1&amp;query=ATM%20SCB%20An%20Nh%C6%A1n%2C%20105%20Tr%E1%BA%A7n%20Ph%C3%BA%2C%20ph%C6%B0%E1%BB%9Dng%20B%C3%ACnh%20%C4%90%E1%BB%8Bnh%2C%20t%E1%BB%89nh%20Gia%20Lai" TargetMode="External"/><Relationship Id="rId59" Type="http://schemas.openxmlformats.org/officeDocument/2006/relationships/hyperlink" Target="https://www.google.com/maps/search/?api=1&amp;query=KienlongBank%20An%20Nh%C6%A1n%2C%20254%20Ng%C3%B4%20Gia%20T%E1%BB%B1%2C%20ph%C6%B0%E1%BB%9Dng%20B%C3%ACnh%20%C4%90%E1%BB%8Bnh%2C%20t%E1%BB%89nh%20Gia%20Lai" TargetMode="External"/><Relationship Id="rId103" Type="http://schemas.openxmlformats.org/officeDocument/2006/relationships/hyperlink" Target="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" TargetMode="External"/><Relationship Id="rId124" Type="http://schemas.openxmlformats.org/officeDocument/2006/relationships/hyperlink" Target="https://www.google.com/maps/search/?api=1&amp;query_place_id=ChIJ5asymUI_bzERbSZTeV0r1iU" TargetMode="External"/><Relationship Id="rId70" Type="http://schemas.openxmlformats.org/officeDocument/2006/relationships/hyperlink" Target="https://www.google.com/maps/search/?api=1&amp;query=Nh%C3%A0%20V%C4%83n%20h%C3%B3a%20x%C3%A3%20Nh%C6%A1n%20Ph%C3%BAc%20c%C5%A9%2C%20Khu%20v%E1%BB%B1c%20Nh%C6%A1n%20Ph%C3%BAc%20c%C5%A9%2C%20ph%C6%B0%E1%BB%9Dng%20B%C3%ACnh%20%C4%90%E1%BB%8Bnh%2C%20t%E1%BB%89nh%20Gia%20Lai" TargetMode="External"/><Relationship Id="rId91" Type="http://schemas.openxmlformats.org/officeDocument/2006/relationships/hyperlink" Target="https://www.google.com/maps/search/?api=1&amp;query=Tr%C3%A0%20s%E1%BB%AFa%20Monta%2C%20V4M4%2BQFJ%2C%20Nguy%E1%BB%85n%20%C4%90%C3%ACnh%20Chi%E1%BB%83u%2C%20ph%C6%B0%E1%BB%9Dng%20B%C3%ACnh%20%C4%90%E1%BB%8Bnh%2C%20t%E1%BB%89nh%20Gia%20Lai" TargetMode="External"/><Relationship Id="rId145" Type="http://schemas.openxmlformats.org/officeDocument/2006/relationships/hyperlink" Target="https://www.google.com/maps/search/?api=1&amp;query_place_id=ChIJLcnfsRY_bzERSYVViKrtYWo" TargetMode="External"/><Relationship Id="rId166" Type="http://schemas.openxmlformats.org/officeDocument/2006/relationships/hyperlink" Target="https://www.google.com/maps/search/?api=1&amp;query_place_id=ChIJcc5XqGg_bzERlq7bi0VFwnk" TargetMode="External"/><Relationship Id="rId187" Type="http://schemas.openxmlformats.org/officeDocument/2006/relationships/hyperlink" Target="https://www.google.com/maps/search/?api=1&amp;query_place_id=ChIJx6A1DQY_bzERyFgnrPJAz9M" TargetMode="External"/><Relationship Id="rId1" Type="http://schemas.openxmlformats.org/officeDocument/2006/relationships/hyperlink" Target="https://baogialai.com.vn/an-nhon-bao-ton-di-san-van-hoa-gan-voi-phat-trien-du-lich-post361692.html" TargetMode="External"/><Relationship Id="rId28" Type="http://schemas.openxmlformats.org/officeDocument/2006/relationships/hyperlink" Target="https://www.google.com/maps/search/?api=1&amp;query=%C4%90%E1%BA%A3ng%20%E1%BB%A7y%20ph%C6%B0%E1%BB%9Dng%20B%C3%ACnh%20%C4%90%E1%BB%8Bnh%2C%2080%20L%C3%AA%20H%E1%BB%93ng%20Phong%2C%20Ph%C6%B0%E1%BB%9Dng%20B%C3%ACnh%20%C4%90%E1%BB%8Bnh%2C%20T%E1%BB%89nh%20Gia%20Lai" TargetMode="External"/><Relationship Id="rId49" Type="http://schemas.openxmlformats.org/officeDocument/2006/relationships/hyperlink" Target="https://www.google.com/maps/search/?api=1&amp;query=Cafe%20An%20Th%C3%A1i%2C%20W25C%2BGMQ%2C%20An%20Th%C3%A1i%2C%20ph%C6%B0%E1%BB%9Dng%20B%C3%ACnh%20%C4%90%E1%BB%8Bnh%2C%20t%E1%BB%89nh%20Gia%20Lai" TargetMode="External"/><Relationship Id="rId114" Type="http://schemas.openxmlformats.org/officeDocument/2006/relationships/hyperlink" Target="https://www.google.com/maps/search/?api=1&amp;query=Won%20Sport%20Billiards%20Club%2C%20%C4%90%C6%B0%E1%BB%9Dng%20Nguy%E1%BB%85n%20Sinh%20S%E1%BA%AFc%2C%20Khu%20B%E1%BA%AFc%20S%C3%B4ng%2C%20ph%C6%B0%E1%BB%9Dng%20B%C3%ACnh%20%C4%90%E1%BB%8Bnh%2C%20t%E1%BB%89nh%20Gia%20Lai" TargetMode="External"/><Relationship Id="rId60" Type="http://schemas.openxmlformats.org/officeDocument/2006/relationships/hyperlink" Target="https://www.google.com/maps/search/?api=1&amp;query=L%C3%A0ng%20ngh%E1%BB%81%20b%C3%BAn%20kh%C3%B4%20-%20b%C3%A1nh%20tr%C3%A1ng%20An%20Th%C3%A1i%2C%20Th%C3%B4n%20An%20Th%C3%A1i%2C%20ph%C6%B0%E1%BB%9Dng%20B%C3%ACnh%20%C4%90%E1%BB%8Bnh%2C%20t%E1%BB%89nh%20Gia%20Lai" TargetMode="External"/><Relationship Id="rId81" Type="http://schemas.openxmlformats.org/officeDocument/2006/relationships/hyperlink" Target="https://www.google.com/maps/search/?api=1&amp;query=S%C3%A2n%20b%C3%B3ng%20%26%20c%C3%A0%20ph%C3%AA%20To%C3%A0n%20Th%E1%BA%AFng%2C%2020%20Tr%E1%BA%A7n%20Th%E1%BB%8B%20K%E1%BB%B7%2C%20ph%C6%B0%E1%BB%9Dng%20B%C3%ACnh%20%C4%90%E1%BB%8Bnh%2C%20t%E1%BB%89nh%20Gia%20Lai" TargetMode="External"/><Relationship Id="rId135" Type="http://schemas.openxmlformats.org/officeDocument/2006/relationships/hyperlink" Target="https://www.google.com/maps/search/?api=1&amp;query_place_id=ChIJCarclYsVbzERpfc1hLpm4XQ" TargetMode="External"/><Relationship Id="rId156" Type="http://schemas.openxmlformats.org/officeDocument/2006/relationships/hyperlink" Target="https://www.google.com/maps/search/?api=1&amp;query_place_id=ChIJSzWgFQA_bzER0PRSDz7hPqE" TargetMode="External"/><Relationship Id="rId177" Type="http://schemas.openxmlformats.org/officeDocument/2006/relationships/hyperlink" Target="https://www.google.com/maps/search/?api=1&amp;query_place_id=ChIJlXuEfPUVbzEREu9hZPILlrI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Karaoke%20Bin%20Bin%2C%20135%20Thanh%20Ni%C3%AAn%2C%20ph%C6%B0%E1%BB%9Dng%20B%C3%ACnh%20%C4%90%E1%BB%8Bnh%2C%20t%E1%BB%89nh%20Gia%20Lai" TargetMode="External"/><Relationship Id="rId21" Type="http://schemas.openxmlformats.org/officeDocument/2006/relationships/hyperlink" Target="https://www.google.com/maps/search/?api=1&amp;query_place_id=ChIJAR3qIuw9bzERD51dugj530Q" TargetMode="External"/><Relationship Id="rId63" Type="http://schemas.openxmlformats.org/officeDocument/2006/relationships/hyperlink" Target="https://www.google.com/maps/search/?api=1&amp;query_place_id=ChIJSw3nL3s_bzER56X5hgP7ENc" TargetMode="External"/><Relationship Id="rId159" Type="http://schemas.openxmlformats.org/officeDocument/2006/relationships/hyperlink" Target="https://www.google.com/maps/search/?api=1&amp;query_place_id=ChIJGQUDOoY9bzERBPfOZWh3Yko" TargetMode="External"/><Relationship Id="rId170" Type="http://schemas.openxmlformats.org/officeDocument/2006/relationships/hyperlink" Target="https://www.google.com/maps/search/?api=1&amp;query=ATM%20Agribank%20-%20320%20Tr%E1%BA%A7n%20Ph%C3%BA%2C%20320%20Tr%E1%BA%A7n%20Ph%C3%BA%2C%20ph%C6%B0%E1%BB%9Dng%20B%C3%ACnh%20%C4%90%E1%BB%8Bnh%2C%20t%E1%BB%89nh%20Gia%20Lai" TargetMode="External"/><Relationship Id="rId226" Type="http://schemas.openxmlformats.org/officeDocument/2006/relationships/hyperlink" Target="https://www.google.com/maps/search/?api=1&amp;query=Ban%20Qu%E1%BA%A3n%20l%C3%BD%20ph%C6%B0%E1%BB%9Dng%20B%C3%ACnh%20%C4%90%E1%BB%8Bnh%2C%2077%20L%C3%AA%20H%E1%BB%93ng%20Phong%2C%20Ph%C6%B0%E1%BB%9Dng%20B%C3%ACnh%20%C4%90%E1%BB%8Bnh%2C%20T%E1%BB%89nh%20Gia%20Lai" TargetMode="External"/><Relationship Id="rId268" Type="http://schemas.openxmlformats.org/officeDocument/2006/relationships/hyperlink" Target="https://www.google.com/maps/search/?api=1&amp;query=Tr%C6%B0%E1%BB%9Dng%20THCS%20Nh%C6%A1n%20Ph%C3%BAc%2C%2035%20An%20Th%C3%A1i%201%2C%20ph%C6%B0%E1%BB%9Dng%20B%C3%ACnh%20%C4%90%E1%BB%8Bnh%2C%20t%E1%BB%89nh%20Gia%20Lai" TargetMode="External"/><Relationship Id="rId32" Type="http://schemas.openxmlformats.org/officeDocument/2006/relationships/hyperlink" Target="https://www.google.com/maps/search/?api=1&amp;query_place_id=ChIJ3YnNnQo_bzEReHa0GsoIZBY" TargetMode="External"/><Relationship Id="rId74" Type="http://schemas.openxmlformats.org/officeDocument/2006/relationships/hyperlink" Target="https://www.google.com/maps/search/?api=1&amp;query_place_id=ChIJa1naAx8-bzERKzsT9fPxkYs" TargetMode="External"/><Relationship Id="rId128" Type="http://schemas.openxmlformats.org/officeDocument/2006/relationships/hyperlink" Target="https://www.google.com/maps/search/?api=1&amp;query_place_id=ChIJ5QgWqCk_bzERbH6hZp2nC20" TargetMode="External"/><Relationship Id="rId5" Type="http://schemas.openxmlformats.org/officeDocument/2006/relationships/hyperlink" Target="https://binhdinh.gov.vn/upload/2005340/20231212/4420_qd_2023_72af7.pdf" TargetMode="External"/><Relationship Id="rId181" Type="http://schemas.openxmlformats.org/officeDocument/2006/relationships/hyperlink" Target="https://tinbds.com/gia-lai/phuong-binh-dinh" TargetMode="External"/><Relationship Id="rId237" Type="http://schemas.openxmlformats.org/officeDocument/2006/relationships/hyperlink" Target="https://www.google.com/maps/search/?api=1&amp;query=Kho%20b%E1%BA%A1c%20Nh%C3%A0%20n%C6%B0%E1%BB%9Bc%20An%20Nh%C6%A1n%2C%20542%20Tr%E1%BA%A7n%20Ph%C3%BA%2C%20ph%C6%B0%E1%BB%9Dng%20B%C3%ACnh%20%C4%90%E1%BB%8Bnh%2C%20t%E1%BB%89nh%20Gia%20Lai" TargetMode="External"/><Relationship Id="rId258" Type="http://schemas.openxmlformats.org/officeDocument/2006/relationships/hyperlink" Target="https://www.google.com/maps/search/?api=1&amp;query=Trung%20t%C3%A2m%20GDNN-GDTX%20An%20Nh%C6%A1n%2C%2031%20Tr%E1%BA%A7n%20Th%E1%BB%8B%20K%E1%BB%B7%2C%20ph%C6%B0%E1%BB%9Dng%20B%C3%ACnh%20%C4%90%E1%BB%8Bnh%2C%20t%E1%BB%89nh%20Gia%20Lai" TargetMode="External"/><Relationship Id="rId279" Type="http://schemas.openxmlformats.org/officeDocument/2006/relationships/hyperlink" Target="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" TargetMode="External"/><Relationship Id="rId22" Type="http://schemas.openxmlformats.org/officeDocument/2006/relationships/hyperlink" Target="https://www.google.com/maps/search/?api=1&amp;query_place_id=ChIJAR3qIuw9bzERD51dugj530Q" TargetMode="External"/><Relationship Id="rId43" Type="http://schemas.openxmlformats.org/officeDocument/2006/relationships/hyperlink" Target="https://www.google.com/maps/search/?api=1&amp;query_place_id=ChIJvTj7mHMWbzERt3Qq_xtoKK4" TargetMode="External"/><Relationship Id="rId64" Type="http://schemas.openxmlformats.org/officeDocument/2006/relationships/hyperlink" Target="https://www.google.com/maps/search/?api=1&amp;query_place_id=ChIJSw3nL3s_bzER56X5hgP7ENc" TargetMode="External"/><Relationship Id="rId118" Type="http://schemas.openxmlformats.org/officeDocument/2006/relationships/hyperlink" Target="https://www.google.com/maps/search/?api=1&amp;query=Karaoke%20Bin%20Bin%2C%20135%20Thanh%20Ni%C3%AAn%2C%20ph%C6%B0%E1%BB%9Dng%20B%C3%ACnh%20%C4%90%E1%BB%8Bnh%2C%20t%E1%BB%89nh%20Gia%20Lai" TargetMode="External"/><Relationship Id="rId139" Type="http://schemas.openxmlformats.org/officeDocument/2006/relationships/hyperlink" Target="https://www.google.com/maps/search/?api=1&amp;query=Nha%20Khoa%20%C4%90%C3%B4ng%20Nam%20%C3%81%2C%2084%20Tr%E1%BA%A7n%20Ph%C3%BA%2C%20ph%C6%B0%E1%BB%9Dng%20B%C3%ACnh%20%C4%90%E1%BB%8Bnh%2C%20t%E1%BB%89nh%20Gia%20Lai" TargetMode="External"/><Relationship Id="rId85" Type="http://schemas.openxmlformats.org/officeDocument/2006/relationships/hyperlink" Target="https://www.google.com/maps/search/?api=1&amp;query_place_id=ChIJKTmRDowVbzERZzpteDw7olc" TargetMode="External"/><Relationship Id="rId150" Type="http://schemas.openxmlformats.org/officeDocument/2006/relationships/hyperlink" Target="https://www.google.com/maps/search/?api=1&amp;query_place_id=ChIJtfF4eAA_bzERFzkhc7jjfME" TargetMode="External"/><Relationship Id="rId171" Type="http://schemas.openxmlformats.org/officeDocument/2006/relationships/hyperlink" Target="https://tinbds.com/gia-lai/phuong-binh-dinh" TargetMode="External"/><Relationship Id="rId192" Type="http://schemas.openxmlformats.org/officeDocument/2006/relationships/hyperlink" Target="https://www.google.com/maps/search/?api=1&amp;query=LPBank%20An%20Nh%C6%A1n%2C%20162%20Tr%E1%BA%A7n%20Ph%C3%BA%2C%20ph%C6%B0%E1%BB%9Dng%20B%C3%ACnh%20%C4%90%E1%BB%8Bnh%2C%20t%E1%BB%89nh%20Gia%20Lai" TargetMode="External"/><Relationship Id="rId206" Type="http://schemas.openxmlformats.org/officeDocument/2006/relationships/hyperlink" Target="https://www.google.com/maps/search/?api=1&amp;query=B%C3%A1ch%20H%C3%B3a%20Xanh%20111-113%20Tr%E1%BA%A7n%20Ph%C3%BA%2C%20111-113%20Tr%E1%BA%A7n%20Ph%C3%BA%2C%20ph%C6%B0%E1%BB%9Dng%20B%C3%ACnh%20%C4%90%E1%BB%8Bnh%2C%20t%E1%BB%89nh%20Gia%20Lai" TargetMode="External"/><Relationship Id="rId227" Type="http://schemas.openxmlformats.org/officeDocument/2006/relationships/hyperlink" Target="https://www.google.com/maps/search/?api=1&amp;query_place_id=ChIJB-TMFwA_bzERmr4BlrxA04s" TargetMode="External"/><Relationship Id="rId248" Type="http://schemas.openxmlformats.org/officeDocument/2006/relationships/hyperlink" Target="https://www.google.com/maps/search/?api=1&amp;query=%E1%BB%A6y%20ban%20MTTQ%20Vi%E1%BB%87t%20Nam%20ph%C6%B0%E1%BB%9Dng%20B%C3%ACnh%20%C4%90%E1%BB%8Bnh%2C%2002%20Ph%E1%BA%A1m%20H%E1%BB%93ng%20Th%C3%A1i%2C%20Ph%C6%B0%E1%BB%9Dng%20B%C3%ACnh%20%C4%90%E1%BB%8Bnh%2C%20T%E1%BB%89nh%20Gia%20Lai" TargetMode="External"/><Relationship Id="rId269" Type="http://schemas.openxmlformats.org/officeDocument/2006/relationships/hyperlink" Target="https://thptnguyendinhchieu-gialai.edu.vn/" TargetMode="External"/><Relationship Id="rId12" Type="http://schemas.openxmlformats.org/officeDocument/2006/relationships/hyperlink" Target="https://www.google.com/maps/search/?api=1&amp;query=Ph%E1%BA%BF%20t%C3%ADch%20th%C3%A1p%20Th%C3%B4ng%20H%C3%B2a%2C%20Th%C3%B4n%20Th%C3%B4ng%20H%C3%B2a%2C%20ph%C6%B0%E1%BB%9Dng%20B%C3%ACnh%20%C4%90%E1%BB%8Bnh%2C%20t%E1%BB%89nh%20Gia%20Lai" TargetMode="External"/><Relationship Id="rId33" Type="http://schemas.openxmlformats.org/officeDocument/2006/relationships/hyperlink" Target="https://www.google.com/maps/search/?api=1&amp;query_place_id=ChIJy-lGKgA9bzERLue_BuXaXZs" TargetMode="External"/><Relationship Id="rId108" Type="http://schemas.openxmlformats.org/officeDocument/2006/relationships/hyperlink" Target="https://www.google.com/maps/search/?api=1&amp;query=Tr%C3%A0%20s%E1%BB%AFa%20Monta%2C%20V4M4%2BQFJ%2C%20Nguy%E1%BB%85n%20%C4%90%C3%ACnh%20Chi%E1%BB%83u%2C%20ph%C6%B0%E1%BB%9Dng%20B%C3%ACnh%20%C4%90%E1%BB%8Bnh%2C%20t%E1%BB%89nh%20Gia%20Lai" TargetMode="External"/><Relationship Id="rId129" Type="http://schemas.openxmlformats.org/officeDocument/2006/relationships/hyperlink" Target="https://www.google.com/maps/search/?api=1&amp;query=S%C3%A2n%20b%C3%B3ng%20%26%20c%C3%A0%20ph%C3%AA%20To%C3%A0n%20Th%E1%BA%AFng%2C%2020%20Tr%E1%BA%A7n%20Th%E1%BB%8B%20K%E1%BB%B7%2C%20ph%C6%B0%E1%BB%9Dng%20B%C3%ACnh%20%C4%90%E1%BB%8Bnh%2C%20t%E1%BB%89nh%20Gia%20Lai" TargetMode="External"/><Relationship Id="rId280" Type="http://schemas.openxmlformats.org/officeDocument/2006/relationships/hyperlink" Target="https://www.google.com/maps/search/?api=1&amp;query=Tr%C6%B0%E1%BB%9Dng%20Trung%20c%E1%BA%A5p%20Kinh%20t%E1%BA%BF%20K%E1%BB%B9%20thu%E1%BA%ADt%20B%C3%ACnh%20%C4%90%E1%BB%8Bnh%2C%2027%20Tr%E1%BA%A7n%20Th%E1%BB%8B%20K%E1%BB%B7%2C%20ph%C6%B0%E1%BB%9Dng%20B%C3%ACnh%20%C4%90%E1%BB%8Bnh%2C%20t%E1%BB%89nh%20Gia%20Lai" TargetMode="External"/><Relationship Id="rId54" Type="http://schemas.openxmlformats.org/officeDocument/2006/relationships/hyperlink" Target="https://www.google.com/maps/search/?api=1&amp;query=T%E1%BB%AB%20%C4%91%C6%B0%E1%BB%9Dng%20c%E1%BB%91%20danh%20s%C6%B0%20v%C3%B5%20h%E1%BB%8Dc%20Di%E1%BB%87p%20Tr%C6%B0%E1%BB%9Dng%20Ph%C3%A1t%2C%20Khu%20v%E1%BB%B1c%20An%20Th%C3%A1i%2C%20ph%C6%B0%E1%BB%9Dng%20B%C3%ACnh%20%C4%90%E1%BB%8Bnh%2C%20t%E1%BB%89nh%20Gia%20Lai" TargetMode="External"/><Relationship Id="rId75" Type="http://schemas.openxmlformats.org/officeDocument/2006/relationships/hyperlink" Target="https://www.google.com/maps/search/?api=1&amp;query=Doong%20Cha%2C%2004%20H%C3%A0m%20Nghi%2C%20ph%C6%B0%E1%BB%9Dng%20B%C3%ACnh%20%C4%90%E1%BB%8Bnh%2C%20t%E1%BB%89nh%20Gia%20Lai" TargetMode="External"/><Relationship Id="rId96" Type="http://schemas.openxmlformats.org/officeDocument/2006/relationships/hyperlink" Target="https://www.google.com/maps/search/?api=1&amp;query_place_id=ChIJB4GeRwA_bzER6qy8Uz-VVHc" TargetMode="External"/><Relationship Id="rId140" Type="http://schemas.openxmlformats.org/officeDocument/2006/relationships/hyperlink" Target="https://www.google.com/maps/search/?api=1&amp;query=Nha%20Khoa%20%C4%90%C3%B4ng%20Nam%20%C3%81%2C%2084%20Tr%E1%BA%A7n%20Ph%C3%BA%2C%20ph%C6%B0%E1%BB%9Dng%20B%C3%ACnh%20%C4%90%E1%BB%8Bnh%2C%20t%E1%BB%89nh%20Gia%20Lai" TargetMode="External"/><Relationship Id="rId161" Type="http://schemas.openxmlformats.org/officeDocument/2006/relationships/hyperlink" Target="https://www.google.com/maps/search/?api=1&amp;query_place_id=ChIJpV5JO0M9bzERBgNAVmviqYM" TargetMode="External"/><Relationship Id="rId182" Type="http://schemas.openxmlformats.org/officeDocument/2006/relationships/hyperlink" Target="https://www.google.com/maps/search/?api=1&amp;query=ATM%20SCB%20An%20Nh%C6%A1n%2C%20105%20Tr%E1%BA%A7n%20Ph%C3%BA%2C%20ph%C6%B0%E1%BB%9Dng%20B%C3%ACnh%20%C4%90%E1%BB%8Bnh%2C%20t%E1%BB%89nh%20Gia%20Lai" TargetMode="External"/><Relationship Id="rId217" Type="http://schemas.openxmlformats.org/officeDocument/2006/relationships/hyperlink" Target="https://www.google.com/maps/search/?api=1&amp;query_place_id=ChIJ0yputWg9bzERsJqkSfWiMzY" TargetMode="External"/><Relationship Id="rId6" Type="http://schemas.openxmlformats.org/officeDocument/2006/relationships/hyperlink" Target="https://www.google.com/maps/search/?api=1&amp;query_place_id=ChIJAyUuOQAVbzER3m0lew4CZug" TargetMode="External"/><Relationship Id="rId238" Type="http://schemas.openxmlformats.org/officeDocument/2006/relationships/hyperlink" Target="https://www.google.com/maps/search/?api=1&amp;query=Kho%20b%E1%BA%A1c%20Nh%C3%A0%20n%C6%B0%E1%BB%9Bc%20An%20Nh%C6%A1n%2C%20542%20Tr%E1%BA%A7n%20Ph%C3%BA%2C%20ph%C6%B0%E1%BB%9Dng%20B%C3%ACnh%20%C4%90%E1%BB%8Bnh%2C%20t%E1%BB%89nh%20Gia%20Lai" TargetMode="External"/><Relationship Id="rId259" Type="http://schemas.openxmlformats.org/officeDocument/2006/relationships/hyperlink" Target="https://www.google.com/maps/search/?api=1&amp;query=Trung%20t%C3%A2m%20Ph%C3%A1t%20tri%E1%BB%83n%20gi%C3%A1o%20d%E1%BB%A5c%20%C3%81nh%20D%C6%B0%C6%A1ng%2C%2002%20Ch%E1%BA%BF%20Lan%20Vi%C3%AAn%2C%20ph%C6%B0%E1%BB%9Dng%20B%C3%ACnh%20%C4%90%E1%BB%8Bnh%2C%20t%E1%BB%89nh%20Gia%20Lai" TargetMode="External"/><Relationship Id="rId23" Type="http://schemas.openxmlformats.org/officeDocument/2006/relationships/hyperlink" Target="https://www.google.com/maps/search/?api=1&amp;query_place_id=ChIJz0OFATU_bzERgICoBQcHsoA" TargetMode="External"/><Relationship Id="rId119" Type="http://schemas.openxmlformats.org/officeDocument/2006/relationships/hyperlink" Target="https://www.google.com/maps/search/?api=1&amp;query=Karaoke%20Ki%E1%BB%81u%20Vy%2C%20117%20Thanh%20Ni%C3%AAn%2C%20ph%C6%B0%E1%BB%9Dng%20B%C3%ACnh%20%C4%90%E1%BB%8Bnh%2C%20t%E1%BB%89nh%20Gia%20Lai" TargetMode="External"/><Relationship Id="rId270" Type="http://schemas.openxmlformats.org/officeDocument/2006/relationships/hyperlink" Target="https://www.google.com/maps/search/?api=1&amp;query=Tr%C6%B0%E1%BB%9Dng%20THPT%20Nguy%E1%BB%85n%20%C4%90%C3%ACnh%20Chi%E1%BB%83u%2C%20108%20Nguy%E1%BB%85n%20%C4%90%C3%ACnh%20Chi%E1%BB%83u%2C%20ph%C6%B0%E1%BB%9Dng%20B%C3%ACnh%20%C4%90%E1%BB%8Bnh%2C%20t%E1%BB%89nh%20Gia%20Lai" TargetMode="External"/><Relationship Id="rId44" Type="http://schemas.openxmlformats.org/officeDocument/2006/relationships/hyperlink" Target="https://www.google.com/maps/search/?api=1&amp;query_place_id=ChIJvTj7mHMWbzERt3Qq_xtoKK4" TargetMode="External"/><Relationship Id="rId65" Type="http://schemas.openxmlformats.org/officeDocument/2006/relationships/hyperlink" Target="https://www.google.com/maps/search/?api=1&amp;query=%E1%BA%A8m%20Th%E1%BB%B1c%20S%C6%A1%20Ri%20B%C3%ACnh%20%C4%90%E1%BB%8Bnh%2C%20V4M7%2BFVM%2C%20Phan%20%C4%90%C3%ACnh%20Ph%C3%B9ng%2C%20ph%C6%B0%E1%BB%9Dng%20B%C3%ACnh%20%C4%90%E1%BB%8Bnh%2C%20t%E1%BB%89nh%20Gia%20Lai" TargetMode="External"/><Relationship Id="rId86" Type="http://schemas.openxmlformats.org/officeDocument/2006/relationships/hyperlink" Target="https://www.google.com/maps/search/?api=1&amp;query_place_id=ChIJKTmRDowVbzERZzpteDw7olc" TargetMode="External"/><Relationship Id="rId130" Type="http://schemas.openxmlformats.org/officeDocument/2006/relationships/hyperlink" Target="https://www.google.com/maps/search/?api=1&amp;query=S%C3%A2n%20b%C3%B3ng%20%26%20c%C3%A0%20ph%C3%AA%20To%C3%A0n%20Th%E1%BA%AFng%2C%2020%20Tr%E1%BA%A7n%20Th%E1%BB%8B%20K%E1%BB%B7%2C%20ph%C6%B0%E1%BB%9Dng%20B%C3%ACnh%20%C4%90%E1%BB%8Bnh%2C%20t%E1%BB%89nh%20Gia%20Lai" TargetMode="External"/><Relationship Id="rId151" Type="http://schemas.openxmlformats.org/officeDocument/2006/relationships/hyperlink" Target="https://www.google.com/maps/search/?api=1&amp;query_place_id=ChIJk-4fo4I_bzERCrLZviLgCpg" TargetMode="External"/><Relationship Id="rId172" Type="http://schemas.openxmlformats.org/officeDocument/2006/relationships/hyperlink" Target="https://www.google.com/maps/search/?api=1&amp;query=ATM%20Agribank%20-%20418%20Tr%E1%BA%A7n%20Ph%C3%BA%2C%20418%20Tr%E1%BA%A7n%20Ph%C3%BA%2C%20ph%C6%B0%E1%BB%9Dng%20B%C3%ACnh%20%C4%90%E1%BB%8Bnh%2C%20t%E1%BB%89nh%20Gia%20Lai" TargetMode="External"/><Relationship Id="rId193" Type="http://schemas.openxmlformats.org/officeDocument/2006/relationships/hyperlink" Target="https://tinbds.com/gia-lai/phuong-binh-dinh" TargetMode="External"/><Relationship Id="rId207" Type="http://schemas.openxmlformats.org/officeDocument/2006/relationships/hyperlink" Target="https://www.google.com/maps/search/?api=1&amp;query_place_id=ChIJEVTPuUM9bzERd5KhbdP2qhE" TargetMode="External"/><Relationship Id="rId228" Type="http://schemas.openxmlformats.org/officeDocument/2006/relationships/hyperlink" Target="https://www.google.com/maps/search/?api=1&amp;query_place_id=ChIJB-TMFwA_bzERmr4BlrxA04s" TargetMode="External"/><Relationship Id="rId249" Type="http://schemas.openxmlformats.org/officeDocument/2006/relationships/hyperlink" Target="https://www.google.com/maps/search/?api=1&amp;query=M%E1%BA%A7m%20non%20Nh%C6%A1n%20Kh%C3%A1nh%20-%20%C4%91i%E1%BB%83m%20Quan%20Quang%2C%20Khu%20v%E1%BB%B1c%20Quan%20Quang%2C%20ph%C6%B0%E1%BB%9Dng%20B%C3%ACnh%20%C4%90%E1%BB%8Bnh%2C%20t%E1%BB%89nh%20Gia%20Lai" TargetMode="External"/><Relationship Id="rId13" Type="http://schemas.openxmlformats.org/officeDocument/2006/relationships/hyperlink" Target="https://congbao.gialai.gov.vn/congbao/congbao.nsf/70E7DA9FCA87F07B88258D96001301F5/$file/529_signed.pdf" TargetMode="External"/><Relationship Id="rId109" Type="http://schemas.openxmlformats.org/officeDocument/2006/relationships/hyperlink" Target="https://www.google.com/maps/search/?api=1&amp;query_place_id=ChIJm492JR0-bzER5Hy6QPe5GhE" TargetMode="External"/><Relationship Id="rId260" Type="http://schemas.openxmlformats.org/officeDocument/2006/relationships/hyperlink" Target="https://www.google.com/maps/search/?api=1&amp;query=Trung%20t%C3%A2m%20Ph%C3%A1t%20tri%E1%BB%83n%20gi%C3%A1o%20d%E1%BB%A5c%20%C3%81nh%20D%C6%B0%C6%A1ng%2C%2002%20Ch%E1%BA%BF%20Lan%20Vi%C3%AAn%2C%20ph%C6%B0%E1%BB%9Dng%20B%C3%ACnh%20%C4%90%E1%BB%8Bnh%2C%20t%E1%BB%89nh%20Gia%20Lai" TargetMode="External"/><Relationship Id="rId34" Type="http://schemas.openxmlformats.org/officeDocument/2006/relationships/hyperlink" Target="https://www.google.com/maps/search/?api=1&amp;query_place_id=ChIJy-lGKgA9bzERLue_BuXaXZs" TargetMode="External"/><Relationship Id="rId55" Type="http://schemas.openxmlformats.org/officeDocument/2006/relationships/hyperlink" Target="https://www.google.com/maps/search/?api=1&amp;query_place_id=ChIJhV6uoRg-bzERLadUCN1hYMc" TargetMode="External"/><Relationship Id="rId76" Type="http://schemas.openxmlformats.org/officeDocument/2006/relationships/hyperlink" Target="https://www.google.com/maps/search/?api=1&amp;query=Doong%20Cha%2C%2004%20H%C3%A0m%20Nghi%2C%20ph%C6%B0%E1%BB%9Dng%20B%C3%ACnh%20%C4%90%E1%BB%8Bnh%2C%20t%E1%BB%89nh%20Gia%20Lai" TargetMode="External"/><Relationship Id="rId97" Type="http://schemas.openxmlformats.org/officeDocument/2006/relationships/hyperlink" Target="https://www.google.com/maps/search/?api=1&amp;query_place_id=ChIJBY9sYO0_bzERZVH1Eevcc5I" TargetMode="External"/><Relationship Id="rId120" Type="http://schemas.openxmlformats.org/officeDocument/2006/relationships/hyperlink" Target="https://www.google.com/maps/search/?api=1&amp;query=Karaoke%20Ki%E1%BB%81u%20Vy%2C%20117%20Thanh%20Ni%C3%AAn%2C%20ph%C6%B0%E1%BB%9Dng%20B%C3%ACnh%20%C4%90%E1%BB%8Bnh%2C%20t%E1%BB%89nh%20Gia%20Lai" TargetMode="External"/><Relationship Id="rId141" Type="http://schemas.openxmlformats.org/officeDocument/2006/relationships/hyperlink" Target="https://www.google.com/maps/search/?api=1&amp;query=Nha%20Khoa%20T%C3%A2m%20An%2C%20105%20Tr%E1%BA%A7n%20Ph%C3%BA%2C%20ph%C6%B0%E1%BB%9Dng%20B%C3%ACnh%20%C4%90%E1%BB%8Bnh%2C%20t%E1%BB%89nh%20Gia%20Lai" TargetMode="External"/><Relationship Id="rId7" Type="http://schemas.openxmlformats.org/officeDocument/2006/relationships/hyperlink" Target="https://binhdinh.gov.vn/upload/2005340/20231212/4420_qd_2023_72af7.pdf" TargetMode="External"/><Relationship Id="rId162" Type="http://schemas.openxmlformats.org/officeDocument/2006/relationships/hyperlink" Target="https://www.google.com/maps/search/?api=1&amp;query_place_id=ChIJpV5JO0M9bzERBgNAVmviqYM" TargetMode="External"/><Relationship Id="rId183" Type="http://schemas.openxmlformats.org/officeDocument/2006/relationships/hyperlink" Target="https://tinbds.com/gia-lai/phuong-binh-dinh" TargetMode="External"/><Relationship Id="rId218" Type="http://schemas.openxmlformats.org/officeDocument/2006/relationships/hyperlink" Target="https://www.google.com/maps/search/?api=1&amp;query_place_id=ChIJ0yputWg9bzERsJqkSfWiMzY" TargetMode="External"/><Relationship Id="rId239" Type="http://schemas.openxmlformats.org/officeDocument/2006/relationships/hyperlink" Target="https://binhdinh.gialai.gov.vn/tin-tuc/phuong-binh-dinh-to-chuc-hoi-nghi-lay-y-kien-du-thao-de-an-sap-xep-to-chuc-lai-cac-to-dan-pho.html" TargetMode="External"/><Relationship Id="rId250" Type="http://schemas.openxmlformats.org/officeDocument/2006/relationships/hyperlink" Target="https://www.google.com/maps/search/?api=1&amp;query=M%E1%BA%A7m%20non%20Nh%C6%A1n%20Kh%C3%A1nh%20-%20%C4%91i%E1%BB%83m%20Quan%20Quang%2C%20Khu%20v%E1%BB%B1c%20Quan%20Quang%2C%20ph%C6%B0%E1%BB%9Dng%20B%C3%ACnh%20%C4%90%E1%BB%8Bnh%2C%20t%E1%BB%89nh%20Gia%20Lai" TargetMode="External"/><Relationship Id="rId271" Type="http://schemas.openxmlformats.org/officeDocument/2006/relationships/hyperlink" Target="https://www.google.com/maps/search/?api=1&amp;query=Tr%C6%B0%E1%BB%9Dng%20THPT%20S%E1%BB%91%201%20An%20Nh%C6%A1n%2C%2089%20L%C3%AA%20H%E1%BB%93ng%20Phong%2C%20ph%C6%B0%E1%BB%9Dng%20B%C3%ACnh%20%C4%90%E1%BB%8Bnh%2C%20t%E1%BB%89nh%20Gia%20Lai" TargetMode="External"/><Relationship Id="rId24" Type="http://schemas.openxmlformats.org/officeDocument/2006/relationships/hyperlink" Target="https://www.google.com/maps/search/?api=1&amp;query_place_id=ChIJz0OFATU_bzERgICoBQcHsoA" TargetMode="External"/><Relationship Id="rId45" Type="http://schemas.openxmlformats.org/officeDocument/2006/relationships/hyperlink" Target="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" TargetMode="External"/><Relationship Id="rId66" Type="http://schemas.openxmlformats.org/officeDocument/2006/relationships/hyperlink" Target="https://www.google.com/maps/search/?api=1&amp;query=%E1%BA%A8m%20Th%E1%BB%B1c%20S%C6%A1%20Ri%20B%C3%ACnh%20%C4%90%E1%BB%8Bnh%2C%20V4M7%2BFVM%2C%20Phan%20%C4%90%C3%ACnh%20Ph%C3%B9ng%2C%20ph%C6%B0%E1%BB%9Dng%20B%C3%ACnh%20%C4%90%E1%BB%8Bnh%2C%20t%E1%BB%89nh%20Gia%20Lai" TargetMode="External"/><Relationship Id="rId87" Type="http://schemas.openxmlformats.org/officeDocument/2006/relationships/hyperlink" Target="https://www.google.com/maps/search/?api=1&amp;query_place_id=ChIJcc5XqGg_bzERlq7bi0VFwnk" TargetMode="External"/><Relationship Id="rId110" Type="http://schemas.openxmlformats.org/officeDocument/2006/relationships/hyperlink" Target="https://www.google.com/maps/search/?api=1&amp;query_place_id=ChIJm492JR0-bzER5Hy6QPe5GhE" TargetMode="External"/><Relationship Id="rId131" Type="http://schemas.openxmlformats.org/officeDocument/2006/relationships/hyperlink" Target="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" TargetMode="External"/><Relationship Id="rId152" Type="http://schemas.openxmlformats.org/officeDocument/2006/relationships/hyperlink" Target="https://www.google.com/maps/search/?api=1&amp;query_place_id=ChIJk-4fo4I_bzERCrLZviLgCpg" TargetMode="External"/><Relationship Id="rId173" Type="http://schemas.openxmlformats.org/officeDocument/2006/relationships/hyperlink" Target="https://tinbds.com/gia-lai/phuong-binh-dinh" TargetMode="External"/><Relationship Id="rId194" Type="http://schemas.openxmlformats.org/officeDocument/2006/relationships/hyperlink" Target="https://www.google.com/maps/search/?api=1&amp;query=LPBank%20PGD%20B%C6%B0u%20%C4%91i%E1%BB%87n%20An%20Nh%C6%A1n%2C%20397%20Tr%E1%BA%A7n%20Ph%C3%BA%2C%20ph%C6%B0%E1%BB%9Dng%20B%C3%ACnh%20%C4%90%E1%BB%8Bnh%2C%20t%E1%BB%89nh%20Gia%20Lai" TargetMode="External"/><Relationship Id="rId208" Type="http://schemas.openxmlformats.org/officeDocument/2006/relationships/hyperlink" Target="https://www.google.com/maps/search/?api=1&amp;query_place_id=ChIJEVTPuUM9bzERd5KhbdP2qhE" TargetMode="External"/><Relationship Id="rId229" Type="http://schemas.openxmlformats.org/officeDocument/2006/relationships/hyperlink" Target="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" TargetMode="External"/><Relationship Id="rId240" Type="http://schemas.openxmlformats.org/officeDocument/2006/relationships/hyperlink" Target="https://www.google.com/maps/search/?api=1&amp;query=Nh%C3%A0%20V%C4%83n%20h%C3%B3a%20x%C3%A3%20Nh%C6%A1n%20Ph%C3%BAc%20c%C5%A9%2C%20Khu%20v%E1%BB%B1c%20Nh%C6%A1n%20Ph%C3%BAc%20c%C5%A9%2C%20ph%C6%B0%E1%BB%9Dng%20B%C3%ACnh%20%C4%90%E1%BB%8Bnh%2C%20t%E1%BB%89nh%20Gia%20Lai" TargetMode="External"/><Relationship Id="rId261" Type="http://schemas.openxmlformats.org/officeDocument/2006/relationships/hyperlink" Target="https://www.google.com/maps/search/?api=1&amp;query=Tr%C6%B0%E1%BB%9Dng%20M%E1%BA%A7m%20non%20B%C3%ACnh%20%C4%90%E1%BB%8Bnh%2C%2034%20%C4%91%C6%B0%E1%BB%9Dng%2030%20Th%C3%A1ng%203%2C%20ph%C6%B0%E1%BB%9Dng%20B%C3%ACnh%20%C4%90%E1%BB%8Bnh%2C%20t%E1%BB%89nh%20Gia%20Lai" TargetMode="External"/><Relationship Id="rId14" Type="http://schemas.openxmlformats.org/officeDocument/2006/relationships/hyperlink" Target="https://www.google.com/maps/search/?api=1&amp;query_place_id=ChIJGZ9j5xw-bzERbZ7vFj3z438" TargetMode="External"/><Relationship Id="rId35" Type="http://schemas.openxmlformats.org/officeDocument/2006/relationships/hyperlink" Target="https://baogialai.com.vn/tuong-nho-ton-vinh-thay-giao-hien-post423886.html" TargetMode="External"/><Relationship Id="rId56" Type="http://schemas.openxmlformats.org/officeDocument/2006/relationships/hyperlink" Target="https://www.google.com/maps/search/?api=1&amp;query_place_id=ChIJhV6uoRg-bzERLadUCN1hYMc" TargetMode="External"/><Relationship Id="rId77" Type="http://schemas.openxmlformats.org/officeDocument/2006/relationships/hyperlink" Target="https://www.google.com/maps/search/?api=1&amp;query_place_id=ChIJJ97Mxgo_bzER28p9Rh0CPrE" TargetMode="External"/><Relationship Id="rId100" Type="http://schemas.openxmlformats.org/officeDocument/2006/relationships/hyperlink" Target="https://www.google.com/maps/search/?api=1&amp;query_place_id=ChIJLfP4ZFg_bzERXPL4xNAiFXc" TargetMode="External"/><Relationship Id="rId8" Type="http://schemas.openxmlformats.org/officeDocument/2006/relationships/hyperlink" Target="https://www.google.com/maps/search/?api=1&amp;query=%C4%90%E1%BB%8Ba%20%C4%91i%E1%BB%83m%20nh%C3%A0%20th%E1%BA%A7y%20Tr%C6%B0%C6%A1ng%20V%C4%83n%20Hi%E1%BA%BFn%2C%20Th%C3%B4n%20Th%E1%BA%AFng%20C%C3%B4ng%2C%20ph%C6%B0%E1%BB%9Dng%20B%C3%ACnh%20%C4%90%E1%BB%8Bnh%2C%20t%E1%BB%89nh%20Gia%20Lai%20%28x%C3%A3%20Nh%C6%A1n%20Ph%C3%BAc%20c%C5%A9%29" TargetMode="External"/><Relationship Id="rId98" Type="http://schemas.openxmlformats.org/officeDocument/2006/relationships/hyperlink" Target="https://www.google.com/maps/search/?api=1&amp;query_place_id=ChIJBY9sYO0_bzERZVH1Eevcc5I" TargetMode="External"/><Relationship Id="rId121" Type="http://schemas.openxmlformats.org/officeDocument/2006/relationships/hyperlink" Target="https://www.google.com/maps/search/?api=1&amp;query=Karaoke%20Kim%20Thoa%2C%20W23J%2B6H%2C%20khu%20v%E1%BB%B1c%20Nh%C6%A1n%20Ph%C3%BAc%20c%C5%A9%2C%20ph%C6%B0%E1%BB%9Dng%20B%C3%ACnh%20%C4%90%E1%BB%8Bnh%2C%20t%E1%BB%89nh%20Gia%20Lai" TargetMode="External"/><Relationship Id="rId142" Type="http://schemas.openxmlformats.org/officeDocument/2006/relationships/hyperlink" Target="https://www.google.com/maps/search/?api=1&amp;query=Nha%20Khoa%20T%C3%A2m%20An%2C%20105%20Tr%E1%BA%A7n%20Ph%C3%BA%2C%20ph%C6%B0%E1%BB%9Dng%20B%C3%ACnh%20%C4%90%E1%BB%8Bnh%2C%20t%E1%BB%89nh%20Gia%20Lai" TargetMode="External"/><Relationship Id="rId163" Type="http://schemas.openxmlformats.org/officeDocument/2006/relationships/hyperlink" Target="https://timbankvn.com/tim-chi-nhanh/acb-pgd-an-nhon/" TargetMode="External"/><Relationship Id="rId184" Type="http://schemas.openxmlformats.org/officeDocument/2006/relationships/hyperlink" Target="https://www.google.com/maps/search/?api=1&amp;query=ATM%20Vietcombank%20An%20Nh%C6%A1n%2C%20194-196%20Ng%C3%B4%20Gia%20T%E1%BB%B1%2C%20ph%C6%B0%E1%BB%9Dng%20B%C3%ACnh%20%C4%90%E1%BB%8Bnh%2C%20t%E1%BB%89nh%20Gia%20Lai" TargetMode="External"/><Relationship Id="rId219" Type="http://schemas.openxmlformats.org/officeDocument/2006/relationships/hyperlink" Target="https://www.google.com/maps/search/?api=1&amp;query=Viettel%20Telecom%20An%20Nh%C6%A1n%2C%20271%20Tr%E1%BA%A7n%20Ph%C3%BA%2C%20ph%C6%B0%E1%BB%9Dng%20B%C3%ACnh%20%C4%90%E1%BB%8Bnh%2C%20t%E1%BB%89nh%20Gia%20Lai" TargetMode="External"/><Relationship Id="rId230" Type="http://schemas.openxmlformats.org/officeDocument/2006/relationships/hyperlink" Target="https://www.google.com/maps/search/?api=1&amp;query=C%C6%A1%20s%E1%BB%9F%20C%C3%B4ng%20an%20Nh%C6%A1n%20Ph%C3%BAc%20c%C5%A9%2C%20W249%2BCX5%2C%20khu%20v%E1%BB%B1c%20Nh%C6%A1n%20Ph%C3%BAc%20c%C5%A9%2C%20ph%C6%B0%E1%BB%9Dng%20B%C3%ACnh%20%C4%90%E1%BB%8Bnh%2C%20t%E1%BB%89nh%20Gia%20Lai" TargetMode="External"/><Relationship Id="rId251" Type="http://schemas.openxmlformats.org/officeDocument/2006/relationships/hyperlink" Target="https://www.google.com/maps/search/?api=1&amp;query=M%E1%BA%A7m%20non%20T%C6%B0%C6%A1ng%20Lai%2C%2078%20AH1%2C%20ph%C6%B0%E1%BB%9Dng%20B%C3%ACnh%20%C4%90%E1%BB%8Bnh%2C%20t%E1%BB%89nh%20Gia%20Lai" TargetMode="External"/><Relationship Id="rId25" Type="http://schemas.openxmlformats.org/officeDocument/2006/relationships/hyperlink" Target="https://www.google.com/maps/search/?api=1&amp;query_place_id=ChIJNcccEl09bzERRTEr0ux9NXU" TargetMode="External"/><Relationship Id="rId46" Type="http://schemas.openxmlformats.org/officeDocument/2006/relationships/hyperlink" Target="https://www.google.com/maps/search/?api=1&amp;query=Nh%C3%A0%20v%C4%83n%20h%C3%B3a%20%C4%91a%20n%C4%83ng%20Nh%C6%A1n%20Ph%C3%BAc%2C%20W249%2BP64%2C%20khu%20v%E1%BB%B1c%20Nh%C6%A1n%20Ph%C3%BAc%20c%C5%A9%2C%20ph%C6%B0%E1%BB%9Dng%20B%C3%ACnh%20%C4%90%E1%BB%8Bnh%2C%20t%E1%BB%89nh%20Gia%20Lai" TargetMode="External"/><Relationship Id="rId67" Type="http://schemas.openxmlformats.org/officeDocument/2006/relationships/hyperlink" Target="https://www.google.com/maps/search/?api=1&amp;query_place_id=ChIJoQmuTfg_bzERxpzhzqiPmCE" TargetMode="External"/><Relationship Id="rId272" Type="http://schemas.openxmlformats.org/officeDocument/2006/relationships/hyperlink" Target="https://www.google.com/maps/search/?api=1&amp;query=Tr%C6%B0%E1%BB%9Dng%20THPT%20S%E1%BB%91%201%20An%20Nh%C6%A1n%2C%2089%20L%C3%AA%20H%E1%BB%93ng%20Phong%2C%20ph%C6%B0%E1%BB%9Dng%20B%C3%ACnh%20%C4%90%E1%BB%8Bnh%2C%20t%E1%BB%89nh%20Gia%20Lai" TargetMode="External"/><Relationship Id="rId88" Type="http://schemas.openxmlformats.org/officeDocument/2006/relationships/hyperlink" Target="https://www.google.com/maps/search/?api=1&amp;query_place_id=ChIJcc5XqGg_bzERlq7bi0VFwnk" TargetMode="External"/><Relationship Id="rId111" Type="http://schemas.openxmlformats.org/officeDocument/2006/relationships/hyperlink" Target="https://www.google.com/maps/search/?api=1&amp;query_place_id=ChIJ86BCA_cVbzERB3oi0LU-hHQ" TargetMode="External"/><Relationship Id="rId132" Type="http://schemas.openxmlformats.org/officeDocument/2006/relationships/hyperlink" Target="https://www.google.com/maps/search/?api=1&amp;query=S%C3%A2n%20v%E1%BA%ADn%20%C4%91%E1%BB%99ng%20x%C3%A3%20Nh%C6%A1n%20Kh%C3%A1nh%2C%20V3R8%2BFQ6%2C%20khu%20v%E1%BB%B1c%20Nh%C6%A1n%20Kh%C3%A1nh%20c%C5%A9%2C%20ph%C6%B0%E1%BB%9Dng%20B%C3%ACnh%20%C4%90%E1%BB%8Bnh%2C%20t%E1%BB%89nh%20Gia%20Lai" TargetMode="External"/><Relationship Id="rId153" Type="http://schemas.openxmlformats.org/officeDocument/2006/relationships/hyperlink" Target="https://www.google.com/maps/search/?api=1&amp;query_place_id=ChIJSZ7_Q3E-bzERGmNcEJFlnNE" TargetMode="External"/><Relationship Id="rId174" Type="http://schemas.openxmlformats.org/officeDocument/2006/relationships/hyperlink" Target="https://www.google.com/maps/search/?api=1&amp;query=ATM%20BIDV%20An%20Nh%C6%A1n%2C%20220%20Tr%E1%BA%A7n%20Ph%C3%BA%2C%20ph%C6%B0%E1%BB%9Dng%20B%C3%ACnh%20%C4%90%E1%BB%8Bnh%2C%20t%E1%BB%89nh%20Gia%20Lai" TargetMode="External"/><Relationship Id="rId195" Type="http://schemas.openxmlformats.org/officeDocument/2006/relationships/hyperlink" Target="https://timbankvn.com/tim-chi-nhanh/mbbank-pgd-an-nhon/" TargetMode="External"/><Relationship Id="rId209" Type="http://schemas.openxmlformats.org/officeDocument/2006/relationships/hyperlink" Target="https://www.google.com/maps/search/?api=1&amp;query_place_id=ChIJxUuoyo49bzERnrv3IREG8vE" TargetMode="External"/><Relationship Id="rId220" Type="http://schemas.openxmlformats.org/officeDocument/2006/relationships/hyperlink" Target="https://www.google.com/maps/search/?api=1&amp;query=Viettel%20Telecom%20An%20Nh%C6%A1n%2C%20271%20Tr%E1%BA%A7n%20Ph%C3%BA%2C%20ph%C6%B0%E1%BB%9Dng%20B%C3%ACnh%20%C4%90%E1%BB%8Bnh%2C%20t%E1%BB%89nh%20Gia%20Lai" TargetMode="External"/><Relationship Id="rId241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15" Type="http://schemas.openxmlformats.org/officeDocument/2006/relationships/hyperlink" Target="https://congbao.gialai.gov.vn/congbao/congbao.nsf/70E7DA9FCA87F07B88258D96001301F5/$file/529_signed.pdf" TargetMode="External"/><Relationship Id="rId36" Type="http://schemas.openxmlformats.org/officeDocument/2006/relationships/hyperlink" Target="https://www.google.com/maps/search/?api=1&amp;query=L%C3%A0ng%20ngh%E1%BB%81%20b%C3%BAn%20kh%C3%B4%20-%20b%C3%A1nh%20tr%C3%A1ng%20An%20Th%C3%A1i%2C%20Th%C3%B4n%20An%20Th%C3%A1i%2C%20ph%C6%B0%E1%BB%9Dng%20B%C3%ACnh%20%C4%90%E1%BB%8Bnh%2C%20t%E1%BB%89nh%20Gia%20Lai" TargetMode="External"/><Relationship Id="rId57" Type="http://schemas.openxmlformats.org/officeDocument/2006/relationships/hyperlink" Target="https://www.google.com/maps/search/?api=1&amp;query_place_id=ChIJp2pxhfUVbzERFn0g5qDT81g" TargetMode="External"/><Relationship Id="rId262" Type="http://schemas.openxmlformats.org/officeDocument/2006/relationships/hyperlink" Target="https://www.google.com/maps/search/?api=1&amp;query=Tr%C6%B0%E1%BB%9Dng%20M%E1%BA%A7m%20non%20B%C3%ACnh%20%C4%90%E1%BB%8Bnh%2C%2034%20%C4%91%C6%B0%E1%BB%9Dng%2030%20Th%C3%A1ng%203%2C%20ph%C6%B0%E1%BB%9Dng%20B%C3%ACnh%20%C4%90%E1%BB%8Bnh%2C%20t%E1%BB%89nh%20Gia%20Lai" TargetMode="External"/><Relationship Id="rId78" Type="http://schemas.openxmlformats.org/officeDocument/2006/relationships/hyperlink" Target="https://www.google.com/maps/search/?api=1&amp;query_place_id=ChIJJ97Mxgo_bzER28p9Rh0CPrE" TargetMode="External"/><Relationship Id="rId99" Type="http://schemas.openxmlformats.org/officeDocument/2006/relationships/hyperlink" Target="https://www.google.com/maps/search/?api=1&amp;query_place_id=ChIJLfP4ZFg_bzERXPL4xNAiFXc" TargetMode="External"/><Relationship Id="rId101" Type="http://schemas.openxmlformats.org/officeDocument/2006/relationships/hyperlink" Target="https://www.google.com/maps/search/?api=1&amp;query=SKY%20Coffee%2C%2002%20Phan%20%C4%90%C3%ACnh%20Ph%C3%B9ng%2C%20ph%C6%B0%E1%BB%9Dng%20B%C3%ACnh%20%C4%90%E1%BB%8Bnh%2C%20t%E1%BB%89nh%20Gia%20Lai" TargetMode="External"/><Relationship Id="rId122" Type="http://schemas.openxmlformats.org/officeDocument/2006/relationships/hyperlink" Target="https://www.google.com/maps/search/?api=1&amp;query=Karaoke%20Kim%20Thoa%2C%20W23J%2B6H%2C%20khu%20v%E1%BB%B1c%20Nh%C6%A1n%20Ph%C3%BAc%20c%C5%A9%2C%20ph%C6%B0%E1%BB%9Dng%20B%C3%ACnh%20%C4%90%E1%BB%8Bnh%2C%20t%E1%BB%89nh%20Gia%20Lai" TargetMode="External"/><Relationship Id="rId143" Type="http://schemas.openxmlformats.org/officeDocument/2006/relationships/hyperlink" Target="https://www.google.com/maps/search/?api=1&amp;query=Nha%20khoa%20T%C3%A2m%20Ph%C3%BAc%2C%2018%20L%C3%AA%20H%E1%BB%93ng%20Phong%2C%20ph%C6%B0%E1%BB%9Dng%20B%C3%ACnh%20%C4%90%E1%BB%8Bnh%2C%20t%E1%BB%89nh%20Gia%20Lai" TargetMode="External"/><Relationship Id="rId164" Type="http://schemas.openxmlformats.org/officeDocument/2006/relationships/hyperlink" Target="https://www.google.com/maps/search/?api=1&amp;query_place_id=ChIJh4yDumU_bzERLpSPtLTkJC0" TargetMode="External"/><Relationship Id="rId185" Type="http://schemas.openxmlformats.org/officeDocument/2006/relationships/hyperlink" Target="https://tinbds.com/gia-lai/phuong-binh-dinh" TargetMode="External"/><Relationship Id="rId9" Type="http://schemas.openxmlformats.org/officeDocument/2006/relationships/hyperlink" Target="https://congbao.gialai.gov.vn/congbao/congbao.nsf/70E7DA9FCA87F07B88258D96001301F5/$file/529_signed.pdf" TargetMode="External"/><Relationship Id="rId210" Type="http://schemas.openxmlformats.org/officeDocument/2006/relationships/hyperlink" Target="https://www.google.com/maps/search/?api=1&amp;query_place_id=ChIJxUuoyo49bzERnrv3IREG8vE" TargetMode="External"/><Relationship Id="rId26" Type="http://schemas.openxmlformats.org/officeDocument/2006/relationships/hyperlink" Target="https://www.google.com/maps/search/?api=1&amp;query_place_id=ChIJNcccEl09bzERRTEr0ux9NXU" TargetMode="External"/><Relationship Id="rId231" Type="http://schemas.openxmlformats.org/officeDocument/2006/relationships/hyperlink" Target="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" TargetMode="External"/><Relationship Id="rId252" Type="http://schemas.openxmlformats.org/officeDocument/2006/relationships/hyperlink" Target="https://www.google.com/maps/search/?api=1&amp;query=M%E1%BA%A7m%20non%20T%C6%B0%C6%A1ng%20Lai%2C%2078%20AH1%2C%20ph%C6%B0%E1%BB%9Dng%20B%C3%ACnh%20%C4%90%E1%BB%8Bnh%2C%20t%E1%BB%89nh%20Gia%20Lai" TargetMode="External"/><Relationship Id="rId273" Type="http://schemas.openxmlformats.org/officeDocument/2006/relationships/hyperlink" Target="https://www.google.com/maps/search/?api=1&amp;query=Tr%C6%B0%E1%BB%9Dng%20Ti%E1%BB%83u%20h%E1%BB%8Dc%20Nh%C6%A1n%20Ph%C3%BAc%2C%20W25H%2BP64%2C%20th%C3%B4n%20M%E1%BB%B9%20Th%E1%BA%A1nh%2C%20ph%C6%B0%E1%BB%9Dng%20B%C3%ACnh%20%C4%90%E1%BB%8Bnh%2C%20t%E1%BB%89nh%20Gia%20Lai" TargetMode="External"/><Relationship Id="rId47" Type="http://schemas.openxmlformats.org/officeDocument/2006/relationships/hyperlink" Target="https://binhdinh.gialai.gov.vn/tin-tuc/phuong-binh-dinh-to-chuc-hoi-nghi-lay-y-kien-du-thao-de-an-sap-xep-to-chuc-lai-cac-to-dan-pho.html" TargetMode="External"/><Relationship Id="rId68" Type="http://schemas.openxmlformats.org/officeDocument/2006/relationships/hyperlink" Target="https://www.google.com/maps/search/?api=1&amp;query_place_id=ChIJoQmuTfg_bzERxpzhzqiPmCE" TargetMode="External"/><Relationship Id="rId89" Type="http://schemas.openxmlformats.org/officeDocument/2006/relationships/hyperlink" Target="https://www.google.com/maps/search/?api=1&amp;query_place_id=ChIJSfD2Ya8_bzERahwWUJr4N_c" TargetMode="External"/><Relationship Id="rId112" Type="http://schemas.openxmlformats.org/officeDocument/2006/relationships/hyperlink" Target="https://www.google.com/maps/search/?api=1&amp;query_place_id=ChIJ86BCA_cVbzERB3oi0LU-hHQ" TargetMode="External"/><Relationship Id="rId133" Type="http://schemas.openxmlformats.org/officeDocument/2006/relationships/hyperlink" Target="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" TargetMode="External"/><Relationship Id="rId154" Type="http://schemas.openxmlformats.org/officeDocument/2006/relationships/hyperlink" Target="https://www.google.com/maps/search/?api=1&amp;query_place_id=ChIJSZ7_Q3E-bzERGmNcEJFlnNE" TargetMode="External"/><Relationship Id="rId175" Type="http://schemas.openxmlformats.org/officeDocument/2006/relationships/hyperlink" Target="https://tinbds.com/gia-lai/phuong-binh-dinh" TargetMode="External"/><Relationship Id="rId196" Type="http://schemas.openxmlformats.org/officeDocument/2006/relationships/hyperlink" Target="https://www.google.com/maps/search/?api=1&amp;query_place_id=ChIJLbLP-nU_bzERLJs2Tn9W8Ok" TargetMode="External"/><Relationship Id="rId200" Type="http://schemas.openxmlformats.org/officeDocument/2006/relationships/hyperlink" Target="https://www.google.com/maps/search/?api=1&amp;query=SCB%20An%20Nh%C6%A1n%2C%20105%20Tr%E1%BA%A7n%20Ph%C3%BA%2C%20ph%C6%B0%E1%BB%9Dng%20B%C3%ACnh%20%C4%90%E1%BB%8Bnh%2C%20t%E1%BB%89nh%20Gia%20Lai" TargetMode="External"/><Relationship Id="rId16" Type="http://schemas.openxmlformats.org/officeDocument/2006/relationships/hyperlink" Target="https://www.google.com/maps/search/?api=1&amp;query=T%E1%BB%AB%20%C4%91%C6%B0%E1%BB%9Dng%20b%C3%AAn%20ngo%E1%BA%A1i%20vua%20Duy%20T%C3%A2n%2C%20Khu%20v%E1%BB%B1c%20Kim%20Ch%C3%A2u%2C%20ph%C6%B0%E1%BB%9Dng%20B%C3%ACnh%20%C4%90%E1%BB%8Bnh%2C%20t%E1%BB%89nh%20Gia%20Lai" TargetMode="External"/><Relationship Id="rId221" Type="http://schemas.openxmlformats.org/officeDocument/2006/relationships/hyperlink" Target="https://www.google.com/maps/search/?api=1&amp;query=VNPT%20An%20Nh%C6%A1n%2C%20229%20Tr%E1%BA%A7n%20Ph%C3%BA%2C%20ph%C6%B0%E1%BB%9Dng%20B%C3%ACnh%20%C4%90%E1%BB%8Bnh%2C%20t%E1%BB%89nh%20Gia%20Lai" TargetMode="External"/><Relationship Id="rId242" Type="http://schemas.openxmlformats.org/officeDocument/2006/relationships/hyperlink" Target="https://www.google.com/maps/search/?api=1&amp;query=Trung%20t%C3%A2m%20Ch%C3%ADnh%20tr%E1%BB%8B%20ph%C6%B0%E1%BB%9Dng%20B%C3%ACnh%20%C4%90%E1%BB%8Bnh%2C%2059%20L%C3%AA%20H%E1%BB%93ng%20Phong%2C%20Ph%C6%B0%E1%BB%9Dng%20B%C3%ACnh%20%C4%90%E1%BB%8Bnh%2C%20T%E1%BB%89nh%20Gia%20Lai" TargetMode="External"/><Relationship Id="rId263" Type="http://schemas.openxmlformats.org/officeDocument/2006/relationships/hyperlink" Target="https://masothue.com/4101427275-truong-mam-non-nhon-khanh" TargetMode="External"/><Relationship Id="rId37" Type="http://schemas.openxmlformats.org/officeDocument/2006/relationships/hyperlink" Target="https://baogialai.com.vn/tuong-nho-ton-vinh-thay-giao-hien-post423886.html" TargetMode="External"/><Relationship Id="rId58" Type="http://schemas.openxmlformats.org/officeDocument/2006/relationships/hyperlink" Target="https://www.google.com/maps/search/?api=1&amp;query_place_id=ChIJp2pxhfUVbzERFn0g5qDT81g" TargetMode="External"/><Relationship Id="rId79" Type="http://schemas.openxmlformats.org/officeDocument/2006/relationships/hyperlink" Target="https://www.google.com/maps/search/?api=1&amp;query_place_id=ChIJa5y9LEY_bzERLfiVucW6Vr4" TargetMode="External"/><Relationship Id="rId102" Type="http://schemas.openxmlformats.org/officeDocument/2006/relationships/hyperlink" Target="https://www.google.com/maps/search/?api=1&amp;query=SKY%20Coffee%2C%2002%20Phan%20%C4%90%C3%ACnh%20Ph%C3%B9ng%2C%20ph%C6%B0%E1%BB%9Dng%20B%C3%ACnh%20%C4%90%E1%BB%8Bnh%2C%20t%E1%BB%89nh%20Gia%20Lai" TargetMode="External"/><Relationship Id="rId123" Type="http://schemas.openxmlformats.org/officeDocument/2006/relationships/hyperlink" Target="https://www.google.com/maps/search/?api=1&amp;query_place_id=ChIJGZ5po6w_bzERVDKVkqmmg6M" TargetMode="External"/><Relationship Id="rId144" Type="http://schemas.openxmlformats.org/officeDocument/2006/relationships/hyperlink" Target="https://www.google.com/maps/search/?api=1&amp;query=Nha%20khoa%20T%C3%A2m%20Ph%C3%BAc%2C%2018%20L%C3%AA%20H%E1%BB%93ng%20Phong%2C%20ph%C6%B0%E1%BB%9Dng%20B%C3%ACnh%20%C4%90%E1%BB%8Bnh%2C%20t%E1%BB%89nh%20Gia%20Lai" TargetMode="External"/><Relationship Id="rId90" Type="http://schemas.openxmlformats.org/officeDocument/2006/relationships/hyperlink" Target="https://www.google.com/maps/search/?api=1&amp;query_place_id=ChIJSfD2Ya8_bzERahwWUJr4N_c" TargetMode="External"/><Relationship Id="rId165" Type="http://schemas.openxmlformats.org/officeDocument/2006/relationships/hyperlink" Target="https://tinbds.com/gia-lai/phuong-binh-dinh" TargetMode="External"/><Relationship Id="rId186" Type="http://schemas.openxmlformats.org/officeDocument/2006/relationships/hyperlink" Target="https://www.google.com/maps/search/?api=1&amp;query=ATM%20VPBank%20An%20Nh%C6%A1n%2C%2046%20Ng%C3%B4%20Gia%20T%E1%BB%B1%2C%20ph%C6%B0%E1%BB%9Dng%20B%C3%ACnh%20%C4%90%E1%BB%8Bnh%2C%20t%E1%BB%89nh%20Gia%20Lai" TargetMode="External"/><Relationship Id="rId211" Type="http://schemas.openxmlformats.org/officeDocument/2006/relationships/hyperlink" Target="https://www.google.com/maps/search/?api=1&amp;query=Si%C3%AAu%20th%E1%BB%8B%20Nh%C3%A0%20s%C3%A1ch%20B%C3%ACnh%20%C4%90%E1%BB%8Bnh%2C%20V4Q7%2BR4C%2C%20Tr%E1%BA%A7n%20Ph%C3%BA%2C%20ph%C6%B0%E1%BB%9Dng%20B%C3%ACnh%20%C4%90%E1%BB%8Bnh%2C%20t%E1%BB%89nh%20Gia%20Lai" TargetMode="External"/><Relationship Id="rId232" Type="http://schemas.openxmlformats.org/officeDocument/2006/relationships/hyperlink" Target="https://www.google.com/maps/search/?api=1&amp;query=C%C6%A1%20s%E1%BB%9F/%C4%91%C6%A1n%20v%E1%BB%8B%20thu%E1%BA%BF%20t%E1%BA%A1i%20544%20Tr%E1%BA%A7n%20Ph%C3%BA%20%28%C4%90%E1%BB%99i%20thu%E1%BA%BF%20th%E1%BB%8B%20x%C3%A3%20An%20Nh%C6%A1n%20c%C5%A9%29%2C%20544%20Tr%E1%BA%A7n%20Ph%C3%BA%2C%20ph%C6%B0%E1%BB%9Dng%20B%C3%ACnh%20%C4%90%E1%BB%8Bnh%2C%20t%E1%BB%89nh%20Gia%20Lai" TargetMode="External"/><Relationship Id="rId253" Type="http://schemas.openxmlformats.org/officeDocument/2006/relationships/hyperlink" Target="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" TargetMode="External"/><Relationship Id="rId274" Type="http://schemas.openxmlformats.org/officeDocument/2006/relationships/hyperlink" Target="https://www.google.com/maps/search/?api=1&amp;query=Tr%C6%B0%E1%BB%9Dng%20Ti%E1%BB%83u%20h%E1%BB%8Dc%20Nh%C6%A1n%20Ph%C3%BAc%2C%20W25H%2BP64%2C%20th%C3%B4n%20M%E1%BB%B9%20Th%E1%BA%A1nh%2C%20ph%C6%B0%E1%BB%9Dng%20B%C3%ACnh%20%C4%90%E1%BB%8Bnh%2C%20t%E1%BB%89nh%20Gia%20Lai" TargetMode="External"/><Relationship Id="rId27" Type="http://schemas.openxmlformats.org/officeDocument/2006/relationships/hyperlink" Target="https://baovanhoa.vn/van-hoa/toa-dam-khoi-phuc-le-hoi-do-gian-an-thai-101273.html" TargetMode="External"/><Relationship Id="rId48" Type="http://schemas.openxmlformats.org/officeDocument/2006/relationships/hyperlink" Target="https://www.google.com/maps/search/?api=1&amp;query=Nh%C3%A0%20V%C4%83n%20h%C3%B3a%20x%C3%A3%20Nh%C6%A1n%20Kh%C3%A1nh%20c%C5%A9%2C%20Khu%20v%E1%BB%B1c%20Nh%C6%A1n%20Kh%C3%A1nh%20c%C5%A9%2C%20ph%C6%B0%E1%BB%9Dng%20B%C3%ACnh%20%C4%90%E1%BB%8Bnh%2C%20t%E1%BB%89nh%20Gia%20Lai" TargetMode="External"/><Relationship Id="rId69" Type="http://schemas.openxmlformats.org/officeDocument/2006/relationships/hyperlink" Target="https://www.google.com/maps/search/?api=1&amp;query_place_id=ChIJXVAK9hs-bzERpl-tSruQJeI" TargetMode="External"/><Relationship Id="rId113" Type="http://schemas.openxmlformats.org/officeDocument/2006/relationships/hyperlink" Target="https://www.google.com/maps/search/?api=1&amp;query=C%C3%B4ng%20vi%C3%AAn%20ph%E1%BB%91%20ch%E1%BB%A3%20An%20Nh%C6%A1n%2C%20V4R4%2B48H%2C%20ph%C6%B0%E1%BB%9Dng%20B%C3%ACnh%20%C4%90%E1%BB%8Bnh%2C%20t%E1%BB%89nh%20Gia%20Lai" TargetMode="External"/><Relationship Id="rId134" Type="http://schemas.openxmlformats.org/officeDocument/2006/relationships/hyperlink" Target="https://www.google.com/maps/search/?api=1&amp;query=S%C3%A2n%20v%E1%BA%ADn%20%C4%91%E1%BB%99ng%20x%C3%A3%20Nh%C6%A1n%20Ph%C3%BAc%2C%20W229%2BWJC%2C%20khu%20v%E1%BB%B1c%20Nh%C6%A1n%20Ph%C3%BAc%20c%C5%A9%2C%20ph%C6%B0%E1%BB%9Dng%20B%C3%ACnh%20%C4%90%E1%BB%8Bnh%2C%20t%E1%BB%89nh%20Gia%20Lai" TargetMode="External"/><Relationship Id="rId80" Type="http://schemas.openxmlformats.org/officeDocument/2006/relationships/hyperlink" Target="https://www.google.com/maps/search/?api=1&amp;query_place_id=ChIJa5y9LEY_bzERLfiVucW6Vr4" TargetMode="External"/><Relationship Id="rId155" Type="http://schemas.openxmlformats.org/officeDocument/2006/relationships/hyperlink" Target="https://www.google.com/maps/search/?api=1&amp;query_place_id=ChIJdYqVm1vFaDERxQVvct4EjJk" TargetMode="External"/><Relationship Id="rId176" Type="http://schemas.openxmlformats.org/officeDocument/2006/relationships/hyperlink" Target="https://www.google.com/maps/search/?api=1&amp;query=ATM%20HDBank%20An%20Nh%C6%A1n%2C%20146-148%20Ng%C3%B4%20Gia%20T%E1%BB%B1%2C%20ph%C6%B0%E1%BB%9Dng%20B%C3%ACnh%20%C4%90%E1%BB%8Bnh%2C%20t%E1%BB%89nh%20Gia%20Lai" TargetMode="External"/><Relationship Id="rId197" Type="http://schemas.openxmlformats.org/officeDocument/2006/relationships/hyperlink" Target="https://tinbds.com/gia-lai/phuong-binh-dinh" TargetMode="External"/><Relationship Id="rId201" Type="http://schemas.openxmlformats.org/officeDocument/2006/relationships/hyperlink" Target="https://tinbds.com/gia-lai/phuong-binh-dinh" TargetMode="External"/><Relationship Id="rId222" Type="http://schemas.openxmlformats.org/officeDocument/2006/relationships/hyperlink" Target="https://www.google.com/maps/search/?api=1&amp;query=VNPT%20An%20Nh%C6%A1n%2C%20229%20Tr%E1%BA%A7n%20Ph%C3%BA%2C%20ph%C6%B0%E1%BB%9Dng%20B%C3%ACnh%20%C4%90%E1%BB%8Bnh%2C%20t%E1%BB%89nh%20Gia%20Lai" TargetMode="External"/><Relationship Id="rId243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64" Type="http://schemas.openxmlformats.org/officeDocument/2006/relationships/hyperlink" Target="https://www.google.com/maps/search/?api=1&amp;query=Tr%C6%B0%E1%BB%9Dng%20M%E1%BA%A7m%20non%20Nh%C6%A1n%20Kh%C3%A1nh%2C%20T%E1%BB%95%20d%C3%A2n%20ph%E1%BB%91%20An%20H%C3%B2a%20/%20khu%20v%E1%BB%B1c%20Kh%C3%A1nh%20H%C3%B2a%2C%20ph%C6%B0%E1%BB%9Dng%20B%C3%ACnh%20%C4%90%E1%BB%8Bnh%2C%20t%E1%BB%89nh%20Gia%20Lai" TargetMode="External"/><Relationship Id="rId17" Type="http://schemas.openxmlformats.org/officeDocument/2006/relationships/hyperlink" Target="https://baovanhoa.vn/van-hoa/toa-dam-khoi-phuc-le-hoi-do-gian-an-thai-101273.html" TargetMode="External"/><Relationship Id="rId38" Type="http://schemas.openxmlformats.org/officeDocument/2006/relationships/hyperlink" Target="https://www.google.com/maps/search/?api=1&amp;query=L%C3%A0ng%20v%C3%B5%20An%20Th%C3%A1i%2C%20Khu%20v%E1%BB%B1c%20An%20Th%C3%A1i%2C%20ph%C6%B0%E1%BB%9Dng%20B%C3%ACnh%20%C4%90%E1%BB%8Bnh%2C%20t%E1%BB%89nh%20Gia%20Lai" TargetMode="External"/><Relationship Id="rId59" Type="http://schemas.openxmlformats.org/officeDocument/2006/relationships/hyperlink" Target="https://www.google.com/maps/search/?api=1&amp;query_place_id=ChIJgycv4a4VbzERKMh-YFjTEPk" TargetMode="External"/><Relationship Id="rId103" Type="http://schemas.openxmlformats.org/officeDocument/2006/relationships/hyperlink" Target="https://www.google.com/maps/search/?api=1&amp;query_place_id=ChIJk_G4DRc_bzERIX1AthXCpIc" TargetMode="External"/><Relationship Id="rId124" Type="http://schemas.openxmlformats.org/officeDocument/2006/relationships/hyperlink" Target="https://www.google.com/maps/search/?api=1&amp;query_place_id=ChIJGZ5po6w_bzERVDKVkqmmg6M" TargetMode="External"/><Relationship Id="rId70" Type="http://schemas.openxmlformats.org/officeDocument/2006/relationships/hyperlink" Target="https://www.google.com/maps/search/?api=1&amp;query_place_id=ChIJXVAK9hs-bzERpl-tSruQJeI" TargetMode="External"/><Relationship Id="rId91" Type="http://schemas.openxmlformats.org/officeDocument/2006/relationships/hyperlink" Target="https://www.google.com/maps/search/?api=1&amp;query=PH%E1%BB%9E%20TI%E1%BB%80N%2C%20134%20Tr%E1%BA%A7n%20Ph%C3%BA%2C%20ph%C6%B0%E1%BB%9Dng%20B%C3%ACnh%20%C4%90%E1%BB%8Bnh%2C%20t%E1%BB%89nh%20Gia%20Lai" TargetMode="External"/><Relationship Id="rId145" Type="http://schemas.openxmlformats.org/officeDocument/2006/relationships/hyperlink" Target="https://www.google.com/maps/search/?api=1&amp;query=Nha%20khoa%20Th%C3%A0nh%20%C4%90%E1%BA%A1t%203%20-%20CN%20Nh%C6%A1n%20Ph%C3%BAc%2C%20124%20An%20Th%C3%A1i%20-%20Nh%C6%A1n%20Ph%C3%BAc%2C%20ph%C6%B0%E1%BB%9Dng%20B%C3%ACnh%20%C4%90%E1%BB%8Bnh%2C%20t%E1%BB%89nh%20Gia%20Lai" TargetMode="External"/><Relationship Id="rId166" Type="http://schemas.openxmlformats.org/officeDocument/2006/relationships/hyperlink" Target="https://www.google.com/maps/search/?api=1&amp;query=Agribank%20An%20Nh%C6%A1n%2C%20418%20Tr%E1%BA%A7n%20Ph%C3%BA%2C%20ph%C6%B0%E1%BB%9Dng%20B%C3%ACnh%20%C4%90%E1%BB%8Bnh%2C%20t%E1%BB%89nh%20Gia%20Lai" TargetMode="External"/><Relationship Id="rId187" Type="http://schemas.openxmlformats.org/officeDocument/2006/relationships/hyperlink" Target="https://hdbank.com.vn/vi/contact" TargetMode="External"/><Relationship Id="rId1" Type="http://schemas.openxmlformats.org/officeDocument/2006/relationships/hyperlink" Target="https://congbao.gialai.gov.vn/congbao/congbao.nsf/70E7DA9FCA87F07B88258D96001301F5/$file/529_signed.pdf" TargetMode="External"/><Relationship Id="rId212" Type="http://schemas.openxmlformats.org/officeDocument/2006/relationships/hyperlink" Target="https://www.google.com/maps/search/?api=1&amp;query=Si%C3%AAu%20th%E1%BB%8B%20Nh%C3%A0%20s%C3%A1ch%20B%C3%ACnh%20%C4%90%E1%BB%8Bnh%2C%20V4Q7%2BR4C%2C%20Tr%E1%BA%A7n%20Ph%C3%BA%2C%20ph%C6%B0%E1%BB%9Dng%20B%C3%ACnh%20%C4%90%E1%BB%8Bnh%2C%20t%E1%BB%89nh%20Gia%20Lai" TargetMode="External"/><Relationship Id="rId233" Type="http://schemas.openxmlformats.org/officeDocument/2006/relationships/hyperlink" Target="https://thuvienphapluat.vn/ma-so-thue/cong-an-phuong-binh-dinh-mst-4101652619.html" TargetMode="External"/><Relationship Id="rId254" Type="http://schemas.openxmlformats.org/officeDocument/2006/relationships/hyperlink" Target="https://www.google.com/maps/search/?api=1&amp;query=Ti%E1%BB%83u%20h%E1%BB%8Dc%20Nh%C6%A1n%20Ph%C3%BAc%20-%20ph%C3%A2n%20hi%E1%BB%87u%20Ph%E1%BB%A5%20Ng%E1%BB%8Dc%2C%20V2WQ%2BCR7%2C%20Ph%E1%BB%A5%20Ng%E1%BB%8Dc%2C%20ph%C6%B0%E1%BB%9Dng%20B%C3%ACnh%20%C4%90%E1%BB%8Bnh%2C%20t%E1%BB%89nh%20Gia%20Lai" TargetMode="External"/><Relationship Id="rId28" Type="http://schemas.openxmlformats.org/officeDocument/2006/relationships/hyperlink" Target="https://www.google.com/maps/search/?api=1&amp;query=Ch%C3%B9a%20%C3%94ng%20An%20Th%C3%A1i%2C%20Th%C3%B4n%20An%20Th%C3%A1i%2C%20ph%C6%B0%E1%BB%9Dng%20B%C3%ACnh%20%C4%90%E1%BB%8Bnh%2C%20t%E1%BB%89nh%20Gia%20Lai" TargetMode="External"/><Relationship Id="rId49" Type="http://schemas.openxmlformats.org/officeDocument/2006/relationships/hyperlink" Target="https://www.google.com/maps/search/?api=1&amp;query_place_id=ChIJkddN1dc_bzERlswdPZOWi_s" TargetMode="External"/><Relationship Id="rId114" Type="http://schemas.openxmlformats.org/officeDocument/2006/relationships/hyperlink" Target="https://www.google.com/maps/search/?api=1&amp;query=C%C3%B4ng%20vi%C3%AAn%20ph%E1%BB%91%20ch%E1%BB%A3%20An%20Nh%C6%A1n%2C%20V4R4%2B48H%2C%20ph%C6%B0%E1%BB%9Dng%20B%C3%ACnh%20%C4%90%E1%BB%8Bnh%2C%20t%E1%BB%89nh%20Gia%20Lai" TargetMode="External"/><Relationship Id="rId275" Type="http://schemas.openxmlformats.org/officeDocument/2006/relationships/hyperlink" Target="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" TargetMode="External"/><Relationship Id="rId60" Type="http://schemas.openxmlformats.org/officeDocument/2006/relationships/hyperlink" Target="https://www.google.com/maps/search/?api=1&amp;query_place_id=ChIJgycv4a4VbzERKMh-YFjTEPk" TargetMode="External"/><Relationship Id="rId81" Type="http://schemas.openxmlformats.org/officeDocument/2006/relationships/hyperlink" Target="https://www.google.com/maps/search/?api=1&amp;query=M%C3%AC%20b%C3%B2%20%C4%90%C3%A0i%20Loan%2C%2011%20Phan%20%C4%90%C3%ACnh%20Ph%C3%B9ng%2C%20ph%C6%B0%E1%BB%9Dng%20B%C3%ACnh%20%C4%90%E1%BB%8Bnh%2C%20t%E1%BB%89nh%20Gia%20Lai" TargetMode="External"/><Relationship Id="rId135" Type="http://schemas.openxmlformats.org/officeDocument/2006/relationships/hyperlink" Target="https://www.google.com/maps/search/?api=1&amp;query=Won%20Sport%20Billiards%20Club%2C%20%C4%90%C6%B0%E1%BB%9Dng%20Nguy%E1%BB%85n%20Sinh%20S%E1%BA%AFc%2C%20Khu%20B%E1%BA%AFc%20S%C3%B4ng%2C%20ph%C6%B0%E1%BB%9Dng%20B%C3%ACnh%20%C4%90%E1%BB%8Bnh%2C%20t%E1%BB%89nh%20Gia%20Lai" TargetMode="External"/><Relationship Id="rId156" Type="http://schemas.openxmlformats.org/officeDocument/2006/relationships/hyperlink" Target="https://www.google.com/maps/search/?api=1&amp;query_place_id=ChIJdYqVm1vFaDERxQVvct4EjJk" TargetMode="External"/><Relationship Id="rId177" Type="http://schemas.openxmlformats.org/officeDocument/2006/relationships/hyperlink" Target="https://tinbds.com/gia-lai/phuong-binh-dinh" TargetMode="External"/><Relationship Id="rId198" Type="http://schemas.openxmlformats.org/officeDocument/2006/relationships/hyperlink" Target="https://www.google.com/maps/search/?api=1&amp;query=Nam%20A%20Bank%20An%20Nh%C6%A1n%2C%20138%20Tr%E1%BA%A7n%20Ph%C3%BA%2C%20ph%C6%B0%E1%BB%9Dng%20B%C3%ACnh%20%C4%90%E1%BB%8Bnh%2C%20t%E1%BB%89nh%20Gia%20Lai" TargetMode="External"/><Relationship Id="rId202" Type="http://schemas.openxmlformats.org/officeDocument/2006/relationships/hyperlink" Target="https://www.google.com/maps/search/?api=1&amp;query=VietABank%20An%20Nh%C6%A1n%2C%20187%20Tr%E1%BA%A7n%20Ph%C3%BA%2C%20ph%C6%B0%E1%BB%9Dng%20B%C3%ACnh%20%C4%90%E1%BB%8Bnh%2C%20t%E1%BB%89nh%20Gia%20Lai" TargetMode="External"/><Relationship Id="rId223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44" Type="http://schemas.openxmlformats.org/officeDocument/2006/relationships/hyperlink" Target="https://www.google.com/maps/search/?api=1&amp;query=Trung%20t%C3%A2m%20ph%E1%BB%A5c%20v%E1%BB%A5%20h%C3%A0nh%20ch%C3%ADnh%20c%C3%B4ng%20ph%C6%B0%E1%BB%9Dng%20B%C3%ACnh%20%C4%90%E1%BB%8Bnh%2C%2079%20L%C3%AA%20H%E1%BB%93ng%20Phong%2C%20Ph%C6%B0%E1%BB%9Dng%20B%C3%ACnh%20%C4%90%E1%BB%8Bnh%2C%20T%E1%BB%89nh%20Gia%20Lai" TargetMode="External"/><Relationship Id="rId18" Type="http://schemas.openxmlformats.org/officeDocument/2006/relationships/hyperlink" Target="https://www.google.com/maps/search/?api=1&amp;query=Ch%C3%B9a%20An%20H%C3%B2a%20%28Ch%C3%B9a%20B%C3%A0%20Tr%C6%B0%E1%BB%9Bc%29%2C%20Th%C3%B4n%20An%20Th%C3%A1i%2C%20ph%C6%B0%E1%BB%9Dng%20B%C3%ACnh%20%C4%90%E1%BB%8Bnh%2C%20t%E1%BB%89nh%20Gia%20Lai" TargetMode="External"/><Relationship Id="rId39" Type="http://schemas.openxmlformats.org/officeDocument/2006/relationships/hyperlink" Target="https://www.google.com/maps/search/?api=1&amp;query_place_id=ChIJIyZyXrA9bzERPaK1aoWcbkY" TargetMode="External"/><Relationship Id="rId265" Type="http://schemas.openxmlformats.org/officeDocument/2006/relationships/hyperlink" Target="https://www.google.com/maps/search/?api=1&amp;query=Tr%C6%B0%E1%BB%9Dng%20THCS%20Nh%C6%A1n%20Kh%C3%A1nh%2C%20V3R8%2BFQ9%2C%20ph%C6%B0%E1%BB%9Dng%20B%C3%ACnh%20%C4%90%E1%BB%8Bnh%2C%20t%E1%BB%89nh%20Gia%20Lai" TargetMode="External"/><Relationship Id="rId50" Type="http://schemas.openxmlformats.org/officeDocument/2006/relationships/hyperlink" Target="https://www.google.com/maps/search/?api=1&amp;query_place_id=ChIJkddN1dc_bzERlswdPZOWi_s" TargetMode="External"/><Relationship Id="rId104" Type="http://schemas.openxmlformats.org/officeDocument/2006/relationships/hyperlink" Target="https://www.google.com/maps/search/?api=1&amp;query_place_id=ChIJk_G4DRc_bzERIX1AthXCpIc" TargetMode="External"/><Relationship Id="rId125" Type="http://schemas.openxmlformats.org/officeDocument/2006/relationships/hyperlink" Target="https://www.google.com/maps/search/?api=1&amp;query=NX%20GYM%2C%2038%20Phan%20%C4%90%C3%ACnh%20Ph%C3%B9ng%2C%20ph%C6%B0%E1%BB%9Dng%20B%C3%ACnh%20%C4%90%E1%BB%8Bnh%2C%20t%E1%BB%89nh%20Gia%20Lai" TargetMode="External"/><Relationship Id="rId146" Type="http://schemas.openxmlformats.org/officeDocument/2006/relationships/hyperlink" Target="https://www.google.com/maps/search/?api=1&amp;query=Nha%20khoa%20Th%C3%A0nh%20%C4%90%E1%BA%A1t%203%20-%20CN%20Nh%C6%A1n%20Ph%C3%BAc%2C%20124%20An%20Th%C3%A1i%20-%20Nh%C6%A1n%20Ph%C3%BAc%2C%20ph%C6%B0%E1%BB%9Dng%20B%C3%ACnh%20%C4%90%E1%BB%8Bnh%2C%20t%E1%BB%89nh%20Gia%20Lai" TargetMode="External"/><Relationship Id="rId167" Type="http://schemas.openxmlformats.org/officeDocument/2006/relationships/hyperlink" Target="https://tinbds.com/gia-lai/phuong-binh-dinh" TargetMode="External"/><Relationship Id="rId188" Type="http://schemas.openxmlformats.org/officeDocument/2006/relationships/hyperlink" Target="https://www.google.com/maps/search/?api=1&amp;query_place_id=ChIJPRHLyBg-bzER0QMGUrdHLvg" TargetMode="External"/><Relationship Id="rId71" Type="http://schemas.openxmlformats.org/officeDocument/2006/relationships/hyperlink" Target="https://www.google.com/maps/search/?api=1&amp;query_place_id=ChIJYW5pGgAVbzERJ55VkO9hONQ" TargetMode="External"/><Relationship Id="rId92" Type="http://schemas.openxmlformats.org/officeDocument/2006/relationships/hyperlink" Target="https://www.google.com/maps/search/?api=1&amp;query=PH%E1%BB%9E%20TI%E1%BB%80N%2C%20134%20Tr%E1%BA%A7n%20Ph%C3%BA%2C%20ph%C6%B0%E1%BB%9Dng%20B%C3%ACnh%20%C4%90%E1%BB%8Bnh%2C%20t%E1%BB%89nh%20Gia%20Lai" TargetMode="External"/><Relationship Id="rId213" Type="http://schemas.openxmlformats.org/officeDocument/2006/relationships/hyperlink" Target="https://www.google.com/maps/search/?api=1&amp;query=WinMart%2B%20206%20Tr%E1%BA%A7n%20Ph%C3%BA%2C%20206%20Tr%E1%BA%A7n%20Ph%C3%BA%2C%20ph%C6%B0%E1%BB%9Dng%20B%C3%ACnh%20%C4%90%E1%BB%8Bnh%2C%20t%E1%BB%89nh%20Gia%20Lai" TargetMode="External"/><Relationship Id="rId234" Type="http://schemas.openxmlformats.org/officeDocument/2006/relationships/hyperlink" Target="https://www.google.com/maps/search/?api=1&amp;query_place_id=ChIJ4QDl2B4-bzEREcKTBqnf83g" TargetMode="External"/><Relationship Id="rId2" Type="http://schemas.openxmlformats.org/officeDocument/2006/relationships/hyperlink" Target="https://www.google.com/maps/search/?api=1&amp;query_place_id=ChIJM0suonk9bzERg6qhlqobluY" TargetMode="External"/><Relationship Id="rId29" Type="http://schemas.openxmlformats.org/officeDocument/2006/relationships/hyperlink" Target="https://www.google.com/maps/search/?api=1&amp;query_place_id=ChIJ9T_BkR4-bzERtn_WlLi8GgE" TargetMode="External"/><Relationship Id="rId255" Type="http://schemas.openxmlformats.org/officeDocument/2006/relationships/hyperlink" Target="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" TargetMode="External"/><Relationship Id="rId276" Type="http://schemas.openxmlformats.org/officeDocument/2006/relationships/hyperlink" Target="https://www.google.com/maps/search/?api=1&amp;query=Tr%C6%B0%E1%BB%9Dng%20Ti%E1%BB%83u%20h%E1%BB%8Dc%20S%E1%BB%91%201%20Ph%C6%B0%E1%BB%9Dng%20B%C3%ACnh%20%C4%90%E1%BB%8Bnh%2C%2082%20L%C3%AA%20H%E1%BB%93ng%20Phong%2C%20ph%C6%B0%E1%BB%9Dng%20B%C3%ACnh%20%C4%90%E1%BB%8Bnh%2C%20t%E1%BB%89nh%20Gia%20Lai" TargetMode="External"/><Relationship Id="rId40" Type="http://schemas.openxmlformats.org/officeDocument/2006/relationships/hyperlink" Target="https://www.google.com/maps/search/?api=1&amp;query_place_id=ChIJIyZyXrA9bzERPaK1aoWcbkY" TargetMode="External"/><Relationship Id="rId115" Type="http://schemas.openxmlformats.org/officeDocument/2006/relationships/hyperlink" Target="https://www.google.com/maps/search/?api=1&amp;query_place_id=ChIJmVkNShw-bzERe2khdK_t_rk" TargetMode="External"/><Relationship Id="rId136" Type="http://schemas.openxmlformats.org/officeDocument/2006/relationships/hyperlink" Target="https://www.google.com/maps/search/?api=1&amp;query=Won%20Sport%20Billiards%20Club%2C%20%C4%90%C6%B0%E1%BB%9Dng%20Nguy%E1%BB%85n%20Sinh%20S%E1%BA%AFc%2C%20Khu%20B%E1%BA%AFc%20S%C3%B4ng%2C%20ph%C6%B0%E1%BB%9Dng%20B%C3%ACnh%20%C4%90%E1%BB%8Bnh%2C%20t%E1%BB%89nh%20Gia%20Lai" TargetMode="External"/><Relationship Id="rId157" Type="http://schemas.openxmlformats.org/officeDocument/2006/relationships/hyperlink" Target="https://www.google.com/maps/search/?api=1&amp;query_place_id=ChIJeZmMuBg-bzERBlZFOhgH9aw" TargetMode="External"/><Relationship Id="rId178" Type="http://schemas.openxmlformats.org/officeDocument/2006/relationships/hyperlink" Target="https://www.google.com/maps/search/?api=1&amp;query=ATM%20KienlongBank%20An%20Nh%C6%A1n%2C%20254%20Ng%C3%B4%20Gia%20T%E1%BB%B1%2C%20ph%C6%B0%E1%BB%9Dng%20B%C3%ACnh%20%C4%90%E1%BB%8Bnh%2C%20t%E1%BB%89nh%20Gia%20Lai" TargetMode="External"/><Relationship Id="rId61" Type="http://schemas.openxmlformats.org/officeDocument/2006/relationships/hyperlink" Target="https://rexannhon.vn/nha-hang-alacarte/" TargetMode="External"/><Relationship Id="rId82" Type="http://schemas.openxmlformats.org/officeDocument/2006/relationships/hyperlink" Target="https://www.google.com/maps/search/?api=1&amp;query=M%C3%AC%20b%C3%B2%20%C4%90%C3%A0i%20Loan%2C%2011%20Phan%20%C4%90%C3%ACnh%20Ph%C3%B9ng%2C%20ph%C6%B0%E1%BB%9Dng%20B%C3%ACnh%20%C4%90%E1%BB%8Bnh%2C%20t%E1%BB%89nh%20Gia%20Lai" TargetMode="External"/><Relationship Id="rId199" Type="http://schemas.openxmlformats.org/officeDocument/2006/relationships/hyperlink" Target="https://tinbds.com/gia-lai/phuong-binh-dinh" TargetMode="External"/><Relationship Id="rId203" Type="http://schemas.openxmlformats.org/officeDocument/2006/relationships/hyperlink" Target="https://tinbds.com/gia-lai/phuong-binh-dinh" TargetMode="External"/><Relationship Id="rId19" Type="http://schemas.openxmlformats.org/officeDocument/2006/relationships/hyperlink" Target="https://baovanhoa.vn/van-hoa/toa-dam-khoi-phuc-le-hoi-do-gian-an-thai-101273.html" TargetMode="External"/><Relationship Id="rId224" Type="http://schemas.openxmlformats.org/officeDocument/2006/relationships/hyperlink" Target="https://www.google.com/maps/search/?api=1&amp;query=Ban%20Qu%E1%BA%A3n%20l%C3%BD%20c%C3%A1c%20d%E1%BB%8Bch%20v%E1%BB%A5%20%C4%91%C3%B4%20th%E1%BB%8B%20An%20Nh%C6%A1n%2C%20399%20Tr%E1%BA%A7n%20Ph%C3%BA%2C%20Ph%C6%B0%E1%BB%9Dng%20B%C3%ACnh%20%C4%90%E1%BB%8Bnh%2C%20T%E1%BB%89nh%20Gia%20Lai" TargetMode="External"/><Relationship Id="rId245" Type="http://schemas.openxmlformats.org/officeDocument/2006/relationships/hyperlink" Target="https://binhdinh.gialai.gov.vn/" TargetMode="External"/><Relationship Id="rId266" Type="http://schemas.openxmlformats.org/officeDocument/2006/relationships/hyperlink" Target="https://www.google.com/maps/search/?api=1&amp;query=Tr%C6%B0%E1%BB%9Dng%20THCS%20Nh%C6%A1n%20Kh%C3%A1nh%2C%20V3R8%2BFQ9%2C%20ph%C6%B0%E1%BB%9Dng%20B%C3%ACnh%20%C4%90%E1%BB%8Bnh%2C%20t%E1%BB%89nh%20Gia%20Lai" TargetMode="External"/><Relationship Id="rId30" Type="http://schemas.openxmlformats.org/officeDocument/2006/relationships/hyperlink" Target="https://www.google.com/maps/search/?api=1&amp;query_place_id=ChIJ9T_BkR4-bzERtn_WlLi8GgE" TargetMode="External"/><Relationship Id="rId105" Type="http://schemas.openxmlformats.org/officeDocument/2006/relationships/hyperlink" Target="https://www.google.com/maps/search/?api=1&amp;query_place_id=ChIJLcnfsRY_bzERSYVViKrtYWo" TargetMode="External"/><Relationship Id="rId126" Type="http://schemas.openxmlformats.org/officeDocument/2006/relationships/hyperlink" Target="https://www.google.com/maps/search/?api=1&amp;query=NX%20GYM%2C%2038%20Phan%20%C4%90%C3%ACnh%20Ph%C3%B9ng%2C%20ph%C6%B0%E1%BB%9Dng%20B%C3%ACnh%20%C4%90%E1%BB%8Bnh%2C%20t%E1%BB%89nh%20Gia%20Lai" TargetMode="External"/><Relationship Id="rId147" Type="http://schemas.openxmlformats.org/officeDocument/2006/relationships/hyperlink" Target="https://www.google.com/maps/search/?api=1&amp;query_place_id=ChIJKXiWuB4-bzERqepOz7TtkqM" TargetMode="External"/><Relationship Id="rId168" Type="http://schemas.openxmlformats.org/officeDocument/2006/relationships/hyperlink" Target="https://www.google.com/maps/search/?api=1&amp;query=ATM%20ACB%20An%20Nh%C6%A1n%2C%20303%20Tr%E1%BA%A7n%20Ph%C3%BA%2C%20ph%C6%B0%E1%BB%9Dng%20B%C3%ACnh%20%C4%90%E1%BB%8Bnh%2C%20t%E1%BB%89nh%20Gia%20Lai" TargetMode="External"/><Relationship Id="rId51" Type="http://schemas.openxmlformats.org/officeDocument/2006/relationships/hyperlink" Target="https://www.google.com/maps/search/?api=1&amp;query_place_id=ChIJ-cD1OQA9bzER3gc-xOtK6m4" TargetMode="External"/><Relationship Id="rId72" Type="http://schemas.openxmlformats.org/officeDocument/2006/relationships/hyperlink" Target="https://www.google.com/maps/search/?api=1&amp;query_place_id=ChIJYW5pGgAVbzERJ55VkO9hONQ" TargetMode="External"/><Relationship Id="rId93" Type="http://schemas.openxmlformats.org/officeDocument/2006/relationships/hyperlink" Target="https://www.google.com/maps/search/?api=1&amp;query=Qu%C3%A1n%202%20Kh%C3%A1nh%2C%2032%20%C4%90%C3%A0o%20Duy%20T%E1%BB%AB%2C%20ph%C6%B0%E1%BB%9Dng%20B%C3%ACnh%20%C4%90%E1%BB%8Bnh%2C%20t%E1%BB%89nh%20Gia%20Lai" TargetMode="External"/><Relationship Id="rId189" Type="http://schemas.openxmlformats.org/officeDocument/2006/relationships/hyperlink" Target="https://tinbds.com/gia-lai/phuong-binh-dinh" TargetMode="External"/><Relationship Id="rId3" Type="http://schemas.openxmlformats.org/officeDocument/2006/relationships/hyperlink" Target="https://congbao.gialai.gov.vn/congbao/congbao.nsf/70E7DA9FCA87F07B88258D96001301F5/$file/529_signed.pdf" TargetMode="External"/><Relationship Id="rId214" Type="http://schemas.openxmlformats.org/officeDocument/2006/relationships/hyperlink" Target="https://www.google.com/maps/search/?api=1&amp;query=WinMart%2B%20206%20Tr%E1%BA%A7n%20Ph%C3%BA%2C%20206%20Tr%E1%BA%A7n%20Ph%C3%BA%2C%20ph%C6%B0%E1%BB%9Dng%20B%C3%ACnh%20%C4%90%E1%BB%8Bnh%2C%20t%E1%BB%89nh%20Gia%20Lai" TargetMode="External"/><Relationship Id="rId235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56" Type="http://schemas.openxmlformats.org/officeDocument/2006/relationships/hyperlink" Target="https://www.google.com/maps/search/?api=1&amp;query=Ti%E1%BB%83u%20h%E1%BB%8Dc%20Nh%C6%A1n%20Ph%C3%BAc%20-%20ph%C3%A2n%20hi%E1%BB%87u%20Th%E1%BA%AFng%20C%C3%B4ng%2C%20W246%2BFMG%2C%20Th%E1%BA%AFng%20C%C3%B4ng%2C%20ph%C6%B0%E1%BB%9Dng%20B%C3%ACnh%20%C4%90%E1%BB%8Bnh%2C%20t%E1%BB%89nh%20Gia%20Lai" TargetMode="External"/><Relationship Id="rId277" Type="http://schemas.openxmlformats.org/officeDocument/2006/relationships/hyperlink" Target="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" TargetMode="External"/><Relationship Id="rId116" Type="http://schemas.openxmlformats.org/officeDocument/2006/relationships/hyperlink" Target="https://www.google.com/maps/search/?api=1&amp;query_place_id=ChIJmVkNShw-bzERe2khdK_t_rk" TargetMode="External"/><Relationship Id="rId137" Type="http://schemas.openxmlformats.org/officeDocument/2006/relationships/hyperlink" Target="https://www.google.com/maps/search/?api=1&amp;query_place_id=ChIJQ9cM_R4-bzERK3mAAotoPxc" TargetMode="External"/><Relationship Id="rId158" Type="http://schemas.openxmlformats.org/officeDocument/2006/relationships/hyperlink" Target="https://www.google.com/maps/search/?api=1&amp;query_place_id=ChIJeZmMuBg-bzERBlZFOhgH9aw" TargetMode="External"/><Relationship Id="rId20" Type="http://schemas.openxmlformats.org/officeDocument/2006/relationships/hyperlink" Target="https://www.google.com/maps/search/?api=1&amp;query=Ch%C3%B9a%20B%C3%A0%20H%E1%BB%8Fa%20%28Ch%C3%B9a%20B%C3%A0%20Sau%29%2C%20Th%C3%B4n%20An%20Th%C3%A1i%2C%20ph%C6%B0%E1%BB%9Dng%20B%C3%ACnh%20%C4%90%E1%BB%8Bnh%2C%20t%E1%BB%89nh%20Gia%20Lai" TargetMode="External"/><Relationship Id="rId41" Type="http://schemas.openxmlformats.org/officeDocument/2006/relationships/hyperlink" Target="https://www.google.com/maps/search/?api=1&amp;query_place_id=ChIJB8NNMns9bzERZ5fEAwDa_w0" TargetMode="External"/><Relationship Id="rId62" Type="http://schemas.openxmlformats.org/officeDocument/2006/relationships/hyperlink" Target="https://www.google.com/maps/search/?api=1&amp;query_place_id=ChIJPUFBWwAVbzEROJlNjm3xiwg" TargetMode="External"/><Relationship Id="rId83" Type="http://schemas.openxmlformats.org/officeDocument/2006/relationships/hyperlink" Target="https://www.google.com/maps/search/?api=1&amp;query_place_id=ChIJC9zs6Sw_bzERL9BXJGKTNwQ" TargetMode="External"/><Relationship Id="rId179" Type="http://schemas.openxmlformats.org/officeDocument/2006/relationships/hyperlink" Target="https://www.google.com/maps/search/?api=1&amp;query_place_id=ChIJz8tDnKc_bzERIOQhwWi6xfM" TargetMode="External"/><Relationship Id="rId190" Type="http://schemas.openxmlformats.org/officeDocument/2006/relationships/hyperlink" Target="https://www.google.com/maps/search/?api=1&amp;query=KienlongBank%20An%20Nh%C6%A1n%2C%20254%20Ng%C3%B4%20Gia%20T%E1%BB%B1%2C%20ph%C6%B0%E1%BB%9Dng%20B%C3%ACnh%20%C4%90%E1%BB%8Bnh%2C%20t%E1%BB%89nh%20Gia%20Lai" TargetMode="External"/><Relationship Id="rId204" Type="http://schemas.openxmlformats.org/officeDocument/2006/relationships/hyperlink" Target="https://www.google.com/maps/search/?api=1&amp;query=VPBank%20An%20Nh%C6%A1n%2C%2046%20Ng%C3%B4%20Gia%20T%E1%BB%B1%2C%20ph%C6%B0%E1%BB%9Dng%20B%C3%ACnh%20%C4%90%E1%BB%8Bnh%2C%20t%E1%BB%89nh%20Gia%20Lai" TargetMode="External"/><Relationship Id="rId225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246" Type="http://schemas.openxmlformats.org/officeDocument/2006/relationships/hyperlink" Target="https://www.google.com/maps/search/?api=1&amp;query_place_id=ChIJSzWgFQA_bzER0PRSDz7hPqE" TargetMode="External"/><Relationship Id="rId267" Type="http://schemas.openxmlformats.org/officeDocument/2006/relationships/hyperlink" Target="https://www.google.com/maps/search/?api=1&amp;query=Tr%C6%B0%E1%BB%9Dng%20THCS%20Nh%C6%A1n%20Ph%C3%BAc%2C%2035%20An%20Th%C3%A1i%201%2C%20ph%C6%B0%E1%BB%9Dng%20B%C3%ACnh%20%C4%90%E1%BB%8Bnh%2C%20t%E1%BB%89nh%20Gia%20Lai" TargetMode="External"/><Relationship Id="rId106" Type="http://schemas.openxmlformats.org/officeDocument/2006/relationships/hyperlink" Target="https://www.google.com/maps/search/?api=1&amp;query_place_id=ChIJLcnfsRY_bzERSYVViKrtYWo" TargetMode="External"/><Relationship Id="rId127" Type="http://schemas.openxmlformats.org/officeDocument/2006/relationships/hyperlink" Target="https://www.google.com/maps/search/?api=1&amp;query_place_id=ChIJ5QgWqCk_bzERbH6hZp2nC20" TargetMode="External"/><Relationship Id="rId10" Type="http://schemas.openxmlformats.org/officeDocument/2006/relationships/hyperlink" Target="https://www.google.com/maps/search/?api=1&amp;query=Ph%E1%BA%BF%20t%C3%ADch%20th%C3%A1p%20An%20H%C3%B2a%2C%20Th%C3%B4n%20An%20H%C3%B2a%2C%20ph%C6%B0%E1%BB%9Dng%20B%C3%ACnh%20%C4%90%E1%BB%8Bnh%2C%20t%E1%BB%89nh%20Gia%20Lai%3B%20khu%20v%E1%BB%B1c%20ven%20%C4%91%C6%B0%E1%BB%9Dng%20636" TargetMode="External"/><Relationship Id="rId31" Type="http://schemas.openxmlformats.org/officeDocument/2006/relationships/hyperlink" Target="https://www.google.com/maps/search/?api=1&amp;query_place_id=ChIJ3YnNnQo_bzEReHa0GsoIZBY" TargetMode="External"/><Relationship Id="rId52" Type="http://schemas.openxmlformats.org/officeDocument/2006/relationships/hyperlink" Target="https://www.google.com/maps/search/?api=1&amp;query_place_id=ChIJ-cD1OQA9bzER3gc-xOtK6m4" TargetMode="External"/><Relationship Id="rId73" Type="http://schemas.openxmlformats.org/officeDocument/2006/relationships/hyperlink" Target="https://www.google.com/maps/search/?api=1&amp;query_place_id=ChIJa1naAx8-bzERKzsT9fPxkYs" TargetMode="External"/><Relationship Id="rId94" Type="http://schemas.openxmlformats.org/officeDocument/2006/relationships/hyperlink" Target="https://www.google.com/maps/search/?api=1&amp;query=Qu%C3%A1n%202%20Kh%C3%A1nh%2C%2032%20%C4%90%C3%A0o%20Duy%20T%E1%BB%AB%2C%20ph%C6%B0%E1%BB%9Dng%20B%C3%ACnh%20%C4%90%E1%BB%8Bnh%2C%20t%E1%BB%89nh%20Gia%20Lai" TargetMode="External"/><Relationship Id="rId148" Type="http://schemas.openxmlformats.org/officeDocument/2006/relationships/hyperlink" Target="https://www.google.com/maps/search/?api=1&amp;query_place_id=ChIJKXiWuB4-bzERqepOz7TtkqM" TargetMode="External"/><Relationship Id="rId169" Type="http://schemas.openxmlformats.org/officeDocument/2006/relationships/hyperlink" Target="https://tinbds.com/gia-lai/phuong-binh-dinh" TargetMode="External"/><Relationship Id="rId4" Type="http://schemas.openxmlformats.org/officeDocument/2006/relationships/hyperlink" Target="https://www.google.com/maps/search/?api=1&amp;query=Ch%C3%B9a%20Ng%C5%A9%20bang%20H%E1%BB%99i%20qu%C3%A1n%20%28An%20Th%C3%A1i%29%2C%20Th%C3%B4n%20An%20Th%C3%A1i%2C%20ph%C6%B0%E1%BB%9Dng%20B%C3%ACnh%20%C4%90%E1%BB%8Bnh%2C%20t%E1%BB%89nh%20Gia%20Lai" TargetMode="External"/><Relationship Id="rId180" Type="http://schemas.openxmlformats.org/officeDocument/2006/relationships/hyperlink" Target="https://www.google.com/maps/search/?api=1&amp;query_place_id=ChIJz8tDnKc_bzERIOQhwWi6xfM" TargetMode="External"/><Relationship Id="rId215" Type="http://schemas.openxmlformats.org/officeDocument/2006/relationships/hyperlink" Target="https://www.google.com/maps/search/?api=1&amp;query_place_id=ChIJ19Fwq4oVbzEROT1IB1sbhn4" TargetMode="External"/><Relationship Id="rId236" Type="http://schemas.openxmlformats.org/officeDocument/2006/relationships/hyperlink" Target="https://www.google.com/maps/search/?api=1&amp;query=%C4%90%E1%BA%A3ng%20%E1%BB%A7y%20ph%C6%B0%E1%BB%9Dng%20B%C3%ACnh%20%C4%90%E1%BB%8Bnh%2C%2080%20L%C3%AA%20H%E1%BB%93ng%20Phong%2C%20Ph%C6%B0%E1%BB%9Dng%20B%C3%ACnh%20%C4%90%E1%BB%8Bnh%2C%20T%E1%BB%89nh%20Gia%20Lai" TargetMode="External"/><Relationship Id="rId257" Type="http://schemas.openxmlformats.org/officeDocument/2006/relationships/hyperlink" Target="https://www.google.com/maps/search/?api=1&amp;query=Trung%20t%C3%A2m%20GDNN-GDTX%20An%20Nh%C6%A1n%2C%2031%20Tr%E1%BA%A7n%20Th%E1%BB%8B%20K%E1%BB%B7%2C%20ph%C6%B0%E1%BB%9Dng%20B%C3%ACnh%20%C4%90%E1%BB%8Bnh%2C%20t%E1%BB%89nh%20Gia%20Lai" TargetMode="External"/><Relationship Id="rId278" Type="http://schemas.openxmlformats.org/officeDocument/2006/relationships/hyperlink" Target="https://www.google.com/maps/search/?api=1&amp;query=Tr%C6%B0%E1%BB%9Dng%20Ti%E1%BB%83u%20h%E1%BB%8Dc%20S%E1%BB%91%202%20Ph%C6%B0%E1%BB%9Dng%20B%C3%ACnh%20%C4%90%E1%BB%8Bnh%2C%2070%20Tr%C6%B0%C6%A1ng%20C%C3%B4ng%20%C4%90%E1%BB%8Bnh%2C%20ph%C6%B0%E1%BB%9Dng%20B%C3%ACnh%20%C4%90%E1%BB%8Bnh%2C%20t%E1%BB%89nh%20Gia%20Lai" TargetMode="External"/><Relationship Id="rId42" Type="http://schemas.openxmlformats.org/officeDocument/2006/relationships/hyperlink" Target="https://www.google.com/maps/search/?api=1&amp;query_place_id=ChIJB8NNMns9bzERZ5fEAwDa_w0" TargetMode="External"/><Relationship Id="rId84" Type="http://schemas.openxmlformats.org/officeDocument/2006/relationships/hyperlink" Target="https://www.google.com/maps/search/?api=1&amp;query_place_id=ChIJC9zs6Sw_bzERL9BXJGKTNwQ" TargetMode="External"/><Relationship Id="rId138" Type="http://schemas.openxmlformats.org/officeDocument/2006/relationships/hyperlink" Target="https://www.google.com/maps/search/?api=1&amp;query_place_id=ChIJQ9cM_R4-bzERK3mAAotoPxc" TargetMode="External"/><Relationship Id="rId191" Type="http://schemas.openxmlformats.org/officeDocument/2006/relationships/hyperlink" Target="https://tinbds.com/gia-lai/phuong-binh-dinh" TargetMode="External"/><Relationship Id="rId205" Type="http://schemas.openxmlformats.org/officeDocument/2006/relationships/hyperlink" Target="https://www.google.com/maps/search/?api=1&amp;query=B%C3%A1ch%20H%C3%B3a%20Xanh%20111-113%20Tr%E1%BA%A7n%20Ph%C3%BA%2C%20111-113%20Tr%E1%BA%A7n%20Ph%C3%BA%2C%20ph%C6%B0%E1%BB%9Dng%20B%C3%ACnh%20%C4%90%E1%BB%8Bnh%2C%20t%E1%BB%89nh%20Gia%20Lai" TargetMode="External"/><Relationship Id="rId247" Type="http://schemas.openxmlformats.org/officeDocument/2006/relationships/hyperlink" Target="https://binhdinh.gialai.gov.vn/upload/105724/20250923/Copy_of_PHU_LUC_GIAO_39_TRU_SO_LAM_VIEC__CO_SO_HOAT_DONG_SU_NGHIEP_THUOC_UBND_PHUONG_BINH_DINH_QUAN_LY__SU_DUNG_f0503.pdf" TargetMode="External"/><Relationship Id="rId107" Type="http://schemas.openxmlformats.org/officeDocument/2006/relationships/hyperlink" Target="https://www.google.com/maps/search/?api=1&amp;query=Tr%C3%A0%20s%E1%BB%AFa%20Monta%2C%20V4M4%2BQFJ%2C%20Nguy%E1%BB%85n%20%C4%90%C3%ACnh%20Chi%E1%BB%83u%2C%20ph%C6%B0%E1%BB%9Dng%20B%C3%ACnh%20%C4%90%E1%BB%8Bnh%2C%20t%E1%BB%89nh%20Gia%20Lai" TargetMode="External"/><Relationship Id="rId11" Type="http://schemas.openxmlformats.org/officeDocument/2006/relationships/hyperlink" Target="https://congbao.gialai.gov.vn/congbao/congbao.nsf/70E7DA9FCA87F07B88258D96001301F5/$file/529_signed.pdf" TargetMode="External"/><Relationship Id="rId53" Type="http://schemas.openxmlformats.org/officeDocument/2006/relationships/hyperlink" Target="https://baovanhoa.vn/van-hoa/toa-dam-khoi-phuc-le-hoi-do-gian-an-thai-101273.html" TargetMode="External"/><Relationship Id="rId149" Type="http://schemas.openxmlformats.org/officeDocument/2006/relationships/hyperlink" Target="https://www.google.com/maps/search/?api=1&amp;query_place_id=ChIJtfF4eAA_bzERFzkhc7jjfME" TargetMode="External"/><Relationship Id="rId95" Type="http://schemas.openxmlformats.org/officeDocument/2006/relationships/hyperlink" Target="https://www.google.com/maps/search/?api=1&amp;query_place_id=ChIJB4GeRwA_bzER6qy8Uz-VVHc" TargetMode="External"/><Relationship Id="rId160" Type="http://schemas.openxmlformats.org/officeDocument/2006/relationships/hyperlink" Target="https://www.google.com/maps/search/?api=1&amp;query_place_id=ChIJGQUDOoY9bzERBPfOZWh3Yko" TargetMode="External"/><Relationship Id="rId216" Type="http://schemas.openxmlformats.org/officeDocument/2006/relationships/hyperlink" Target="https://www.google.com/maps/search/?api=1&amp;query_place_id=ChIJ19Fwq4oVbzEROT1IB1sbhn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showGridLines="0" tabSelected="1" workbookViewId="0">
      <selection activeCell="D16" sqref="D16"/>
    </sheetView>
  </sheetViews>
  <sheetFormatPr defaultRowHeight="15" x14ac:dyDescent="0.25"/>
  <cols>
    <col min="1" max="1" width="36" style="15" customWidth="1"/>
    <col min="2" max="2" width="14" style="15" customWidth="1"/>
    <col min="3" max="3" width="13" style="15" customWidth="1"/>
    <col min="4" max="4" width="16" style="15" customWidth="1"/>
    <col min="5" max="6" width="11" style="15" bestFit="1" customWidth="1"/>
    <col min="7" max="7" width="10" style="15" customWidth="1"/>
    <col min="8" max="8" width="16" style="15" customWidth="1"/>
    <col min="9" max="16384" width="9.140625" style="15"/>
  </cols>
  <sheetData>
    <row r="1" spans="1:8" ht="33.950000000000003" customHeight="1" x14ac:dyDescent="0.25">
      <c r="A1" s="20" t="s">
        <v>1027</v>
      </c>
      <c r="B1" s="18"/>
      <c r="C1" s="18"/>
      <c r="D1" s="18"/>
      <c r="E1" s="18"/>
      <c r="F1" s="18"/>
      <c r="G1" s="18"/>
      <c r="H1" s="18"/>
    </row>
    <row r="2" spans="1:8" ht="42" customHeight="1" x14ac:dyDescent="0.25">
      <c r="A2" s="19" t="s">
        <v>0</v>
      </c>
      <c r="B2" s="18"/>
      <c r="C2" s="18"/>
      <c r="D2" s="18"/>
      <c r="E2" s="18"/>
      <c r="F2" s="18"/>
      <c r="G2" s="18"/>
      <c r="H2" s="18"/>
    </row>
    <row r="4" spans="1:8" ht="60" x14ac:dyDescent="0.25">
      <c r="A4" s="2" t="s">
        <v>1</v>
      </c>
      <c r="C4" s="2" t="s">
        <v>2</v>
      </c>
      <c r="E4" s="2" t="s">
        <v>3</v>
      </c>
      <c r="G4" s="2" t="s">
        <v>4</v>
      </c>
    </row>
    <row r="5" spans="1:8" ht="21" x14ac:dyDescent="0.35">
      <c r="A5" s="16">
        <f>COUNTA(Danh_sach_chi_tiet!$D:$D)-1</f>
        <v>165</v>
      </c>
      <c r="C5" s="16">
        <f>COUNTIF(Danh_sach_chi_tiet!$O:$O,"*xếp hạng di tích lịch sử cấp tỉnh*")</f>
        <v>2</v>
      </c>
      <c r="E5" s="16">
        <f>COUNTIF(Danh_sach_chi_tiet!$O:$O,"*Kiểm kê 2026*")</f>
        <v>6</v>
      </c>
      <c r="G5" s="16">
        <v>10</v>
      </c>
    </row>
    <row r="8" spans="1:8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  <c r="F8" s="2" t="s">
        <v>10</v>
      </c>
      <c r="G8" s="2" t="s">
        <v>11</v>
      </c>
      <c r="H8" s="2" t="s">
        <v>12</v>
      </c>
    </row>
    <row r="9" spans="1:8" x14ac:dyDescent="0.25">
      <c r="A9" s="15" t="s">
        <v>13</v>
      </c>
      <c r="B9" s="15">
        <f>COUNTIF(Danh_sach_chi_tiet!$B:$B,A9)</f>
        <v>8</v>
      </c>
      <c r="C9" s="15">
        <f>COUNTIFS(Danh_sach_chi_tiet!$B:$B,A9,Danh_sach_chi_tiet!$H:$H,"&gt;0")</f>
        <v>1</v>
      </c>
      <c r="D9" s="15">
        <f>COUNTIFS(Danh_sach_chi_tiet!$B:$B,A9,Danh_sach_chi_tiet!$K:$K,"&lt;&gt;")</f>
        <v>0</v>
      </c>
      <c r="E9" s="15">
        <f>COUNTIFS(Danh_sach_chi_tiet!$B:$B,A9,Danh_sach_chi_tiet!$R:$R,"A")</f>
        <v>8</v>
      </c>
      <c r="F9" s="15">
        <f>COUNTIFS(Danh_sach_chi_tiet!$B:$B,A9,Danh_sach_chi_tiet!$R:$R,"B")</f>
        <v>0</v>
      </c>
      <c r="G9" s="15">
        <f>COUNTIFS(Danh_sach_chi_tiet!$B:$B,A9,Danh_sach_chi_tiet!$R:$R,"C")</f>
        <v>0</v>
      </c>
      <c r="H9" s="15">
        <f>COUNTIFS(Danh_sach_chi_tiet!$B:$B,A9,Danh_sach_chi_tiet!$O:$O,"&lt;&gt;")</f>
        <v>8</v>
      </c>
    </row>
    <row r="10" spans="1:8" x14ac:dyDescent="0.25">
      <c r="A10" s="15" t="s">
        <v>14</v>
      </c>
      <c r="B10" s="15">
        <f>COUNTIF(Danh_sach_chi_tiet!$B:$B,A10)</f>
        <v>21</v>
      </c>
      <c r="C10" s="15">
        <f>COUNTIFS(Danh_sach_chi_tiet!$B:$B,A10,Danh_sach_chi_tiet!$H:$H,"&gt;0")</f>
        <v>11</v>
      </c>
      <c r="D10" s="15">
        <f>COUNTIFS(Danh_sach_chi_tiet!$B:$B,A10,Danh_sach_chi_tiet!$K:$K,"&lt;&gt;")</f>
        <v>3</v>
      </c>
      <c r="E10" s="15">
        <f>COUNTIFS(Danh_sach_chi_tiet!$B:$B,A10,Danh_sach_chi_tiet!$R:$R,"A")</f>
        <v>1</v>
      </c>
      <c r="F10" s="15">
        <f>COUNTIFS(Danh_sach_chi_tiet!$B:$B,A10,Danh_sach_chi_tiet!$R:$R,"B")</f>
        <v>18</v>
      </c>
      <c r="G10" s="15">
        <f>COUNTIFS(Danh_sach_chi_tiet!$B:$B,A10,Danh_sach_chi_tiet!$R:$R,"C")</f>
        <v>2</v>
      </c>
      <c r="H10" s="15">
        <f>COUNTIFS(Danh_sach_chi_tiet!$B:$B,A10,Danh_sach_chi_tiet!$O:$O,"&lt;&gt;")</f>
        <v>0</v>
      </c>
    </row>
    <row r="11" spans="1:8" x14ac:dyDescent="0.25">
      <c r="A11" s="15" t="s">
        <v>15</v>
      </c>
      <c r="B11" s="15">
        <f>COUNTIF(Danh_sach_chi_tiet!$B:$B,A11)</f>
        <v>8</v>
      </c>
      <c r="C11" s="15">
        <f>COUNTIFS(Danh_sach_chi_tiet!$B:$B,A11,Danh_sach_chi_tiet!$H:$H,"&gt;0")</f>
        <v>4</v>
      </c>
      <c r="D11" s="15">
        <f>COUNTIFS(Danh_sach_chi_tiet!$B:$B,A11,Danh_sach_chi_tiet!$K:$K,"&lt;&gt;")</f>
        <v>7</v>
      </c>
      <c r="E11" s="15">
        <f>COUNTIFS(Danh_sach_chi_tiet!$B:$B,A11,Danh_sach_chi_tiet!$R:$R,"A")</f>
        <v>2</v>
      </c>
      <c r="F11" s="15">
        <f>COUNTIFS(Danh_sach_chi_tiet!$B:$B,A11,Danh_sach_chi_tiet!$R:$R,"B")</f>
        <v>5</v>
      </c>
      <c r="G11" s="15">
        <f>COUNTIFS(Danh_sach_chi_tiet!$B:$B,A11,Danh_sach_chi_tiet!$R:$R,"C")</f>
        <v>1</v>
      </c>
      <c r="H11" s="15">
        <f>COUNTIFS(Danh_sach_chi_tiet!$B:$B,A11,Danh_sach_chi_tiet!$O:$O,"&lt;&gt;")</f>
        <v>0</v>
      </c>
    </row>
    <row r="12" spans="1:8" x14ac:dyDescent="0.25">
      <c r="A12" s="15" t="s">
        <v>16</v>
      </c>
      <c r="B12" s="15">
        <f>COUNTIF(Danh_sach_chi_tiet!$B:$B,A12)</f>
        <v>29</v>
      </c>
      <c r="C12" s="15">
        <f>COUNTIFS(Danh_sach_chi_tiet!$B:$B,A12,Danh_sach_chi_tiet!$H:$H,"&gt;0")</f>
        <v>7</v>
      </c>
      <c r="D12" s="15">
        <f>COUNTIFS(Danh_sach_chi_tiet!$B:$B,A12,Danh_sach_chi_tiet!$K:$K,"&lt;&gt;")</f>
        <v>19</v>
      </c>
      <c r="E12" s="15">
        <f>COUNTIFS(Danh_sach_chi_tiet!$B:$B,A12,Danh_sach_chi_tiet!$R:$R,"A")</f>
        <v>2</v>
      </c>
      <c r="F12" s="15">
        <f>COUNTIFS(Danh_sach_chi_tiet!$B:$B,A12,Danh_sach_chi_tiet!$R:$R,"B")</f>
        <v>27</v>
      </c>
      <c r="G12" s="15">
        <f>COUNTIFS(Danh_sach_chi_tiet!$B:$B,A12,Danh_sach_chi_tiet!$R:$R,"C")</f>
        <v>0</v>
      </c>
      <c r="H12" s="15">
        <f>COUNTIFS(Danh_sach_chi_tiet!$B:$B,A12,Danh_sach_chi_tiet!$O:$O,"&lt;&gt;")</f>
        <v>0</v>
      </c>
    </row>
    <row r="13" spans="1:8" x14ac:dyDescent="0.25">
      <c r="A13" s="15" t="s">
        <v>17</v>
      </c>
      <c r="B13" s="15">
        <f>COUNTIF(Danh_sach_chi_tiet!$B:$B,A13)</f>
        <v>16</v>
      </c>
      <c r="C13" s="15">
        <f>COUNTIFS(Danh_sach_chi_tiet!$B:$B,A13,Danh_sach_chi_tiet!$H:$H,"&gt;0")</f>
        <v>10</v>
      </c>
      <c r="D13" s="15">
        <f>COUNTIFS(Danh_sach_chi_tiet!$B:$B,A13,Danh_sach_chi_tiet!$K:$K,"&lt;&gt;")</f>
        <v>9</v>
      </c>
      <c r="E13" s="15">
        <f>COUNTIFS(Danh_sach_chi_tiet!$B:$B,A13,Danh_sach_chi_tiet!$R:$R,"A")</f>
        <v>1</v>
      </c>
      <c r="F13" s="15">
        <f>COUNTIFS(Danh_sach_chi_tiet!$B:$B,A13,Danh_sach_chi_tiet!$R:$R,"B")</f>
        <v>14</v>
      </c>
      <c r="G13" s="15">
        <f>COUNTIFS(Danh_sach_chi_tiet!$B:$B,A13,Danh_sach_chi_tiet!$R:$R,"C")</f>
        <v>1</v>
      </c>
      <c r="H13" s="15">
        <f>COUNTIFS(Danh_sach_chi_tiet!$B:$B,A13,Danh_sach_chi_tiet!$O:$O,"&lt;&gt;")</f>
        <v>0</v>
      </c>
    </row>
    <row r="14" spans="1:8" x14ac:dyDescent="0.25">
      <c r="A14" s="15" t="s">
        <v>18</v>
      </c>
      <c r="B14" s="15">
        <f>COUNTIF(Danh_sach_chi_tiet!$B:$B,A14)</f>
        <v>13</v>
      </c>
      <c r="C14" s="15">
        <f>COUNTIFS(Danh_sach_chi_tiet!$B:$B,A14,Danh_sach_chi_tiet!$H:$H,"&gt;0")</f>
        <v>3</v>
      </c>
      <c r="D14" s="15">
        <f>COUNTIFS(Danh_sach_chi_tiet!$B:$B,A14,Danh_sach_chi_tiet!$K:$K,"&lt;&gt;")</f>
        <v>8</v>
      </c>
      <c r="E14" s="15">
        <f>COUNTIFS(Danh_sach_chi_tiet!$B:$B,A14,Danh_sach_chi_tiet!$R:$R,"A")</f>
        <v>1</v>
      </c>
      <c r="F14" s="15">
        <f>COUNTIFS(Danh_sach_chi_tiet!$B:$B,A14,Danh_sach_chi_tiet!$R:$R,"B")</f>
        <v>12</v>
      </c>
      <c r="G14" s="15">
        <f>COUNTIFS(Danh_sach_chi_tiet!$B:$B,A14,Danh_sach_chi_tiet!$R:$R,"C")</f>
        <v>0</v>
      </c>
      <c r="H14" s="15">
        <f>COUNTIFS(Danh_sach_chi_tiet!$B:$B,A14,Danh_sach_chi_tiet!$O:$O,"&lt;&gt;")</f>
        <v>0</v>
      </c>
    </row>
    <row r="15" spans="1:8" x14ac:dyDescent="0.25">
      <c r="A15" s="15" t="s">
        <v>19</v>
      </c>
      <c r="B15" s="15">
        <f>COUNTIF(Danh_sach_chi_tiet!$B:$B,A15)</f>
        <v>24</v>
      </c>
      <c r="C15" s="15">
        <f>COUNTIFS(Danh_sach_chi_tiet!$B:$B,A15,Danh_sach_chi_tiet!$H:$H,"&gt;0")</f>
        <v>3</v>
      </c>
      <c r="D15" s="15">
        <f>COUNTIFS(Danh_sach_chi_tiet!$B:$B,A15,Danh_sach_chi_tiet!$K:$K,"&lt;&gt;")</f>
        <v>8</v>
      </c>
      <c r="E15" s="15">
        <f>COUNTIFS(Danh_sach_chi_tiet!$B:$B,A15,Danh_sach_chi_tiet!$R:$R,"A")</f>
        <v>5</v>
      </c>
      <c r="F15" s="15">
        <f>COUNTIFS(Danh_sach_chi_tiet!$B:$B,A15,Danh_sach_chi_tiet!$R:$R,"B")</f>
        <v>17</v>
      </c>
      <c r="G15" s="15">
        <f>COUNTIFS(Danh_sach_chi_tiet!$B:$B,A15,Danh_sach_chi_tiet!$R:$R,"C")</f>
        <v>2</v>
      </c>
      <c r="H15" s="15">
        <f>COUNTIFS(Danh_sach_chi_tiet!$B:$B,A15,Danh_sach_chi_tiet!$O:$O,"&lt;&gt;")</f>
        <v>0</v>
      </c>
    </row>
    <row r="16" spans="1:8" x14ac:dyDescent="0.25">
      <c r="A16" s="15" t="s">
        <v>20</v>
      </c>
      <c r="B16" s="15">
        <f>COUNTIF(Danh_sach_chi_tiet!$B:$B,A16)</f>
        <v>8</v>
      </c>
      <c r="C16" s="15">
        <f>COUNTIFS(Danh_sach_chi_tiet!$B:$B,A16,Danh_sach_chi_tiet!$H:$H,"&gt;0")</f>
        <v>6</v>
      </c>
      <c r="D16" s="15">
        <f>COUNTIFS(Danh_sach_chi_tiet!$B:$B,A16,Danh_sach_chi_tiet!$K:$K,"&lt;&gt;")</f>
        <v>4</v>
      </c>
      <c r="E16" s="15">
        <f>COUNTIFS(Danh_sach_chi_tiet!$B:$B,A16,Danh_sach_chi_tiet!$R:$R,"A")</f>
        <v>0</v>
      </c>
      <c r="F16" s="15">
        <f>COUNTIFS(Danh_sach_chi_tiet!$B:$B,A16,Danh_sach_chi_tiet!$R:$R,"B")</f>
        <v>8</v>
      </c>
      <c r="G16" s="15">
        <f>COUNTIFS(Danh_sach_chi_tiet!$B:$B,A16,Danh_sach_chi_tiet!$R:$R,"C")</f>
        <v>0</v>
      </c>
      <c r="H16" s="15">
        <f>COUNTIFS(Danh_sach_chi_tiet!$B:$B,A16,Danh_sach_chi_tiet!$O:$O,"&lt;&gt;")</f>
        <v>0</v>
      </c>
    </row>
    <row r="17" spans="1:8" ht="30" x14ac:dyDescent="0.25">
      <c r="A17" s="15" t="s">
        <v>21</v>
      </c>
      <c r="B17" s="15">
        <f>COUNTIF(Danh_sach_chi_tiet!$B:$B,A17)</f>
        <v>6</v>
      </c>
      <c r="C17" s="15">
        <f>COUNTIFS(Danh_sach_chi_tiet!$B:$B,A17,Danh_sach_chi_tiet!$H:$H,"&gt;0")</f>
        <v>2</v>
      </c>
      <c r="D17" s="15">
        <f>COUNTIFS(Danh_sach_chi_tiet!$B:$B,A17,Danh_sach_chi_tiet!$K:$K,"&lt;&gt;")</f>
        <v>6</v>
      </c>
      <c r="E17" s="15">
        <f>COUNTIFS(Danh_sach_chi_tiet!$B:$B,A17,Danh_sach_chi_tiet!$R:$R,"A")</f>
        <v>0</v>
      </c>
      <c r="F17" s="15">
        <f>COUNTIFS(Danh_sach_chi_tiet!$B:$B,A17,Danh_sach_chi_tiet!$R:$R,"B")</f>
        <v>6</v>
      </c>
      <c r="G17" s="15">
        <f>COUNTIFS(Danh_sach_chi_tiet!$B:$B,A17,Danh_sach_chi_tiet!$R:$R,"C")</f>
        <v>0</v>
      </c>
      <c r="H17" s="15">
        <f>COUNTIFS(Danh_sach_chi_tiet!$B:$B,A17,Danh_sach_chi_tiet!$O:$O,"&lt;&gt;")</f>
        <v>0</v>
      </c>
    </row>
    <row r="18" spans="1:8" x14ac:dyDescent="0.25">
      <c r="A18" s="15" t="s">
        <v>22</v>
      </c>
      <c r="B18" s="15">
        <f>COUNTIF(Danh_sach_chi_tiet!$B:$B,A18)</f>
        <v>13</v>
      </c>
      <c r="C18" s="15">
        <f>COUNTIFS(Danh_sach_chi_tiet!$B:$B,A18,Danh_sach_chi_tiet!$H:$H,"&gt;0")</f>
        <v>3</v>
      </c>
      <c r="D18" s="15">
        <f>COUNTIFS(Danh_sach_chi_tiet!$B:$B,A18,Danh_sach_chi_tiet!$K:$K,"&lt;&gt;")</f>
        <v>2</v>
      </c>
      <c r="E18" s="15">
        <f>COUNTIFS(Danh_sach_chi_tiet!$B:$B,A18,Danh_sach_chi_tiet!$R:$R,"A")</f>
        <v>9</v>
      </c>
      <c r="F18" s="15">
        <f>COUNTIFS(Danh_sach_chi_tiet!$B:$B,A18,Danh_sach_chi_tiet!$R:$R,"B")</f>
        <v>2</v>
      </c>
      <c r="G18" s="15">
        <f>COUNTIFS(Danh_sach_chi_tiet!$B:$B,A18,Danh_sach_chi_tiet!$R:$R,"C")</f>
        <v>2</v>
      </c>
      <c r="H18" s="15">
        <f>COUNTIFS(Danh_sach_chi_tiet!$B:$B,A18,Danh_sach_chi_tiet!$O:$O,"&lt;&gt;")</f>
        <v>0</v>
      </c>
    </row>
    <row r="19" spans="1:8" x14ac:dyDescent="0.25">
      <c r="A19" s="15" t="s">
        <v>23</v>
      </c>
      <c r="B19" s="15">
        <f>COUNTIF(Danh_sach_chi_tiet!$B:$B,A19)</f>
        <v>19</v>
      </c>
      <c r="C19" s="15">
        <f>COUNTIFS(Danh_sach_chi_tiet!$B:$B,A19,Danh_sach_chi_tiet!$H:$H,"&gt;0")</f>
        <v>7</v>
      </c>
      <c r="D19" s="15">
        <f>COUNTIFS(Danh_sach_chi_tiet!$B:$B,A19,Danh_sach_chi_tiet!$K:$K,"&lt;&gt;")</f>
        <v>8</v>
      </c>
      <c r="E19" s="15">
        <f>COUNTIFS(Danh_sach_chi_tiet!$B:$B,A19,Danh_sach_chi_tiet!$R:$R,"A")</f>
        <v>11</v>
      </c>
      <c r="F19" s="15">
        <f>COUNTIFS(Danh_sach_chi_tiet!$B:$B,A19,Danh_sach_chi_tiet!$R:$R,"B")</f>
        <v>8</v>
      </c>
      <c r="G19" s="15">
        <f>COUNTIFS(Danh_sach_chi_tiet!$B:$B,A19,Danh_sach_chi_tiet!$R:$R,"C")</f>
        <v>0</v>
      </c>
      <c r="H19" s="15">
        <f>COUNTIFS(Danh_sach_chi_tiet!$B:$B,A19,Danh_sach_chi_tiet!$O:$O,"&lt;&gt;")</f>
        <v>0</v>
      </c>
    </row>
    <row r="20" spans="1:8" x14ac:dyDescent="0.25">
      <c r="A20" s="17" t="s">
        <v>24</v>
      </c>
      <c r="B20" s="17">
        <f t="shared" ref="B20:H20" si="0">SUM(B9:B19)</f>
        <v>165</v>
      </c>
      <c r="C20" s="17">
        <f t="shared" si="0"/>
        <v>57</v>
      </c>
      <c r="D20" s="17">
        <f t="shared" si="0"/>
        <v>74</v>
      </c>
      <c r="E20" s="17">
        <f t="shared" si="0"/>
        <v>40</v>
      </c>
      <c r="F20" s="17">
        <f t="shared" si="0"/>
        <v>117</v>
      </c>
      <c r="G20" s="17">
        <f t="shared" si="0"/>
        <v>8</v>
      </c>
      <c r="H20" s="17">
        <f t="shared" si="0"/>
        <v>8</v>
      </c>
    </row>
    <row r="22" spans="1:8" s="21" customFormat="1" x14ac:dyDescent="0.25"/>
    <row r="24" spans="1:8" x14ac:dyDescent="0.25">
      <c r="D24" s="22"/>
    </row>
  </sheetData>
  <mergeCells count="2">
    <mergeCell ref="A2:H2"/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66"/>
  <sheetViews>
    <sheetView showGridLines="0" workbookViewId="0">
      <pane ySplit="1" topLeftCell="A5" activePane="bottomLeft" state="frozen"/>
      <selection pane="bottomLeft" activeCell="B17" sqref="B17"/>
    </sheetView>
  </sheetViews>
  <sheetFormatPr defaultRowHeight="15" x14ac:dyDescent="0.25"/>
  <cols>
    <col min="1" max="1" width="7" customWidth="1"/>
    <col min="2" max="2" width="30" customWidth="1"/>
    <col min="3" max="3" width="22" customWidth="1"/>
    <col min="4" max="4" width="38" customWidth="1"/>
    <col min="5" max="5" width="48" customWidth="1"/>
    <col min="6" max="6" width="18" customWidth="1"/>
    <col min="7" max="7" width="15" customWidth="1"/>
    <col min="8" max="9" width="14" customWidth="1"/>
    <col min="10" max="10" width="31" customWidth="1"/>
    <col min="11" max="11" width="21" customWidth="1"/>
    <col min="12" max="12" width="36" customWidth="1"/>
    <col min="13" max="13" width="26" customWidth="1"/>
    <col min="14" max="14" width="32" customWidth="1"/>
    <col min="15" max="15" width="42" customWidth="1"/>
    <col min="16" max="16" width="50" customWidth="1"/>
    <col min="17" max="17" width="56" customWidth="1"/>
    <col min="18" max="18" width="14" customWidth="1"/>
    <col min="19" max="21" width="52" customWidth="1"/>
    <col min="22" max="22" width="15" customWidth="1"/>
    <col min="23" max="23" width="40" customWidth="1"/>
  </cols>
  <sheetData>
    <row r="1" spans="1:23" ht="42" customHeight="1" x14ac:dyDescent="0.25">
      <c r="A1" s="4" t="s">
        <v>25</v>
      </c>
      <c r="B1" s="4" t="s">
        <v>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  <c r="Q1" s="4" t="s">
        <v>40</v>
      </c>
      <c r="R1" s="4" t="s">
        <v>41</v>
      </c>
      <c r="S1" s="4" t="s">
        <v>42</v>
      </c>
      <c r="T1" s="4" t="s">
        <v>43</v>
      </c>
      <c r="U1" s="4" t="s">
        <v>44</v>
      </c>
      <c r="V1" s="4" t="s">
        <v>45</v>
      </c>
      <c r="W1" s="4" t="s">
        <v>46</v>
      </c>
    </row>
    <row r="2" spans="1:23" ht="45" x14ac:dyDescent="0.25">
      <c r="A2" s="5">
        <v>1</v>
      </c>
      <c r="B2" s="5" t="s">
        <v>13</v>
      </c>
      <c r="C2" s="5" t="s">
        <v>47</v>
      </c>
      <c r="D2" s="5" t="s">
        <v>48</v>
      </c>
      <c r="E2" s="5" t="s">
        <v>49</v>
      </c>
      <c r="F2" s="5" t="s">
        <v>50</v>
      </c>
      <c r="G2" s="5"/>
      <c r="H2" s="6"/>
      <c r="I2" s="6"/>
      <c r="J2" s="5" t="s">
        <v>51</v>
      </c>
      <c r="K2" s="5"/>
      <c r="L2" s="5"/>
      <c r="M2" s="5"/>
      <c r="N2" s="5" t="s">
        <v>52</v>
      </c>
      <c r="O2" s="5" t="s">
        <v>53</v>
      </c>
      <c r="P2" s="5" t="s">
        <v>54</v>
      </c>
      <c r="Q2" s="5" t="s">
        <v>55</v>
      </c>
      <c r="R2" s="7" t="s">
        <v>56</v>
      </c>
      <c r="S2" s="8" t="s">
        <v>57</v>
      </c>
      <c r="T2" s="8" t="s">
        <v>58</v>
      </c>
      <c r="U2" s="8" t="s">
        <v>59</v>
      </c>
      <c r="V2" s="5" t="s">
        <v>60</v>
      </c>
      <c r="W2" s="5"/>
    </row>
    <row r="3" spans="1:23" ht="45" x14ac:dyDescent="0.25">
      <c r="A3" s="5">
        <v>2</v>
      </c>
      <c r="B3" s="5" t="s">
        <v>13</v>
      </c>
      <c r="C3" s="5" t="s">
        <v>61</v>
      </c>
      <c r="D3" s="5" t="s">
        <v>62</v>
      </c>
      <c r="E3" s="5" t="s">
        <v>63</v>
      </c>
      <c r="F3" s="5" t="s">
        <v>64</v>
      </c>
      <c r="G3" s="5"/>
      <c r="H3" s="6"/>
      <c r="I3" s="6"/>
      <c r="J3" s="5" t="s">
        <v>51</v>
      </c>
      <c r="K3" s="5"/>
      <c r="L3" s="5"/>
      <c r="M3" s="5"/>
      <c r="N3" s="5" t="s">
        <v>65</v>
      </c>
      <c r="O3" s="5" t="s">
        <v>53</v>
      </c>
      <c r="P3" s="5" t="s">
        <v>66</v>
      </c>
      <c r="Q3" s="5" t="s">
        <v>55</v>
      </c>
      <c r="R3" s="7" t="s">
        <v>56</v>
      </c>
      <c r="S3" s="8" t="s">
        <v>57</v>
      </c>
      <c r="T3" s="8" t="s">
        <v>67</v>
      </c>
      <c r="U3" s="8" t="s">
        <v>68</v>
      </c>
      <c r="V3" s="5" t="s">
        <v>60</v>
      </c>
      <c r="W3" s="5"/>
    </row>
    <row r="4" spans="1:23" ht="45" x14ac:dyDescent="0.25">
      <c r="A4" s="5">
        <v>3</v>
      </c>
      <c r="B4" s="5" t="s">
        <v>13</v>
      </c>
      <c r="C4" s="5" t="s">
        <v>69</v>
      </c>
      <c r="D4" s="5" t="s">
        <v>70</v>
      </c>
      <c r="E4" s="5" t="s">
        <v>71</v>
      </c>
      <c r="F4" s="5" t="s">
        <v>72</v>
      </c>
      <c r="G4" s="5" t="s">
        <v>73</v>
      </c>
      <c r="H4" s="6">
        <v>13.883112499999999</v>
      </c>
      <c r="I4" s="6">
        <v>109.1085156</v>
      </c>
      <c r="J4" s="5" t="s">
        <v>74</v>
      </c>
      <c r="K4" s="5"/>
      <c r="L4" s="5"/>
      <c r="M4" s="5"/>
      <c r="N4" s="5" t="s">
        <v>75</v>
      </c>
      <c r="O4" s="5" t="s">
        <v>76</v>
      </c>
      <c r="P4" s="5" t="s">
        <v>77</v>
      </c>
      <c r="Q4" s="5" t="s">
        <v>55</v>
      </c>
      <c r="R4" s="7" t="s">
        <v>56</v>
      </c>
      <c r="S4" s="8" t="s">
        <v>78</v>
      </c>
      <c r="T4" s="8" t="s">
        <v>79</v>
      </c>
      <c r="U4" s="8" t="s">
        <v>80</v>
      </c>
      <c r="V4" s="5" t="s">
        <v>60</v>
      </c>
      <c r="W4" s="5"/>
    </row>
    <row r="5" spans="1:23" ht="60" x14ac:dyDescent="0.25">
      <c r="A5" s="5">
        <v>4</v>
      </c>
      <c r="B5" s="5" t="s">
        <v>13</v>
      </c>
      <c r="C5" s="5" t="s">
        <v>69</v>
      </c>
      <c r="D5" s="5" t="s">
        <v>81</v>
      </c>
      <c r="E5" s="5" t="s">
        <v>82</v>
      </c>
      <c r="F5" s="5" t="s">
        <v>64</v>
      </c>
      <c r="G5" s="5"/>
      <c r="H5" s="6"/>
      <c r="I5" s="6"/>
      <c r="J5" s="5" t="s">
        <v>51</v>
      </c>
      <c r="K5" s="5"/>
      <c r="L5" s="5"/>
      <c r="M5" s="5"/>
      <c r="N5" s="5" t="s">
        <v>83</v>
      </c>
      <c r="O5" s="5" t="s">
        <v>84</v>
      </c>
      <c r="P5" s="5" t="s">
        <v>85</v>
      </c>
      <c r="Q5" s="5" t="s">
        <v>55</v>
      </c>
      <c r="R5" s="7" t="s">
        <v>56</v>
      </c>
      <c r="S5" s="8" t="s">
        <v>78</v>
      </c>
      <c r="T5" s="8" t="s">
        <v>86</v>
      </c>
      <c r="U5" s="8" t="s">
        <v>87</v>
      </c>
      <c r="V5" s="5" t="s">
        <v>60</v>
      </c>
      <c r="W5" s="5" t="s">
        <v>88</v>
      </c>
    </row>
    <row r="6" spans="1:23" ht="45" x14ac:dyDescent="0.25">
      <c r="A6" s="5">
        <v>5</v>
      </c>
      <c r="B6" s="5" t="s">
        <v>13</v>
      </c>
      <c r="C6" s="5" t="s">
        <v>89</v>
      </c>
      <c r="D6" s="5" t="s">
        <v>90</v>
      </c>
      <c r="E6" s="5" t="s">
        <v>91</v>
      </c>
      <c r="F6" s="5" t="s">
        <v>92</v>
      </c>
      <c r="G6" s="5"/>
      <c r="H6" s="6"/>
      <c r="I6" s="6"/>
      <c r="J6" s="5" t="s">
        <v>51</v>
      </c>
      <c r="K6" s="5"/>
      <c r="L6" s="5"/>
      <c r="M6" s="5"/>
      <c r="N6" s="5" t="s">
        <v>93</v>
      </c>
      <c r="O6" s="5" t="s">
        <v>53</v>
      </c>
      <c r="P6" s="5" t="s">
        <v>94</v>
      </c>
      <c r="Q6" s="5" t="s">
        <v>55</v>
      </c>
      <c r="R6" s="7" t="s">
        <v>56</v>
      </c>
      <c r="S6" s="8" t="s">
        <v>57</v>
      </c>
      <c r="T6" s="8" t="s">
        <v>58</v>
      </c>
      <c r="U6" s="8" t="s">
        <v>95</v>
      </c>
      <c r="V6" s="5" t="s">
        <v>60</v>
      </c>
      <c r="W6" s="5"/>
    </row>
    <row r="7" spans="1:23" ht="45" x14ac:dyDescent="0.25">
      <c r="A7" s="5">
        <v>6</v>
      </c>
      <c r="B7" s="5" t="s">
        <v>13</v>
      </c>
      <c r="C7" s="5" t="s">
        <v>89</v>
      </c>
      <c r="D7" s="5" t="s">
        <v>96</v>
      </c>
      <c r="E7" s="5" t="s">
        <v>97</v>
      </c>
      <c r="F7" s="5" t="s">
        <v>92</v>
      </c>
      <c r="G7" s="5"/>
      <c r="H7" s="6"/>
      <c r="I7" s="6"/>
      <c r="J7" s="5" t="s">
        <v>51</v>
      </c>
      <c r="K7" s="5"/>
      <c r="L7" s="5"/>
      <c r="M7" s="5"/>
      <c r="N7" s="5" t="s">
        <v>98</v>
      </c>
      <c r="O7" s="5" t="s">
        <v>53</v>
      </c>
      <c r="P7" s="5" t="s">
        <v>99</v>
      </c>
      <c r="Q7" s="5" t="s">
        <v>55</v>
      </c>
      <c r="R7" s="7" t="s">
        <v>56</v>
      </c>
      <c r="S7" s="8" t="s">
        <v>57</v>
      </c>
      <c r="T7" s="8" t="s">
        <v>58</v>
      </c>
      <c r="U7" s="8" t="s">
        <v>100</v>
      </c>
      <c r="V7" s="5" t="s">
        <v>60</v>
      </c>
      <c r="W7" s="5"/>
    </row>
    <row r="8" spans="1:23" ht="60" x14ac:dyDescent="0.25">
      <c r="A8" s="5">
        <v>7</v>
      </c>
      <c r="B8" s="5" t="s">
        <v>13</v>
      </c>
      <c r="C8" s="5" t="s">
        <v>101</v>
      </c>
      <c r="D8" s="5" t="s">
        <v>102</v>
      </c>
      <c r="E8" s="5" t="s">
        <v>103</v>
      </c>
      <c r="F8" s="5" t="s">
        <v>104</v>
      </c>
      <c r="G8" s="5"/>
      <c r="H8" s="6"/>
      <c r="I8" s="6"/>
      <c r="J8" s="5" t="s">
        <v>105</v>
      </c>
      <c r="K8" s="5"/>
      <c r="L8" s="5"/>
      <c r="M8" s="5"/>
      <c r="N8" s="5" t="s">
        <v>106</v>
      </c>
      <c r="O8" s="5" t="s">
        <v>107</v>
      </c>
      <c r="P8" s="5" t="s">
        <v>108</v>
      </c>
      <c r="Q8" s="5" t="s">
        <v>109</v>
      </c>
      <c r="R8" s="7" t="s">
        <v>56</v>
      </c>
      <c r="S8" s="8" t="s">
        <v>57</v>
      </c>
      <c r="T8" s="8" t="s">
        <v>58</v>
      </c>
      <c r="U8" s="8" t="s">
        <v>110</v>
      </c>
      <c r="V8" s="5" t="s">
        <v>60</v>
      </c>
      <c r="W8" s="5"/>
    </row>
    <row r="9" spans="1:23" ht="45" x14ac:dyDescent="0.25">
      <c r="A9" s="5">
        <v>8</v>
      </c>
      <c r="B9" s="5" t="s">
        <v>13</v>
      </c>
      <c r="C9" s="5" t="s">
        <v>47</v>
      </c>
      <c r="D9" s="5" t="s">
        <v>111</v>
      </c>
      <c r="E9" s="5" t="s">
        <v>112</v>
      </c>
      <c r="F9" s="5" t="s">
        <v>72</v>
      </c>
      <c r="G9" s="5"/>
      <c r="H9" s="6"/>
      <c r="I9" s="6"/>
      <c r="J9" s="5" t="s">
        <v>51</v>
      </c>
      <c r="K9" s="5"/>
      <c r="L9" s="5"/>
      <c r="M9" s="5"/>
      <c r="N9" s="5" t="s">
        <v>113</v>
      </c>
      <c r="O9" s="5" t="s">
        <v>53</v>
      </c>
      <c r="P9" s="5" t="s">
        <v>114</v>
      </c>
      <c r="Q9" s="5" t="s">
        <v>55</v>
      </c>
      <c r="R9" s="7" t="s">
        <v>56</v>
      </c>
      <c r="S9" s="8" t="s">
        <v>57</v>
      </c>
      <c r="T9" s="8" t="s">
        <v>58</v>
      </c>
      <c r="U9" s="8" t="s">
        <v>115</v>
      </c>
      <c r="V9" s="5" t="s">
        <v>60</v>
      </c>
      <c r="W9" s="5"/>
    </row>
    <row r="10" spans="1:23" ht="45" x14ac:dyDescent="0.25">
      <c r="A10" s="5">
        <v>9</v>
      </c>
      <c r="B10" s="5" t="s">
        <v>14</v>
      </c>
      <c r="C10" s="5" t="s">
        <v>116</v>
      </c>
      <c r="D10" s="5" t="s">
        <v>117</v>
      </c>
      <c r="E10" s="5" t="s">
        <v>63</v>
      </c>
      <c r="F10" s="5" t="s">
        <v>64</v>
      </c>
      <c r="G10" s="5"/>
      <c r="H10" s="6"/>
      <c r="I10" s="6"/>
      <c r="J10" s="5" t="s">
        <v>51</v>
      </c>
      <c r="K10" s="5"/>
      <c r="L10" s="5"/>
      <c r="M10" s="5"/>
      <c r="N10" s="5" t="s">
        <v>118</v>
      </c>
      <c r="O10" s="5"/>
      <c r="P10" s="5" t="s">
        <v>119</v>
      </c>
      <c r="Q10" s="5" t="s">
        <v>55</v>
      </c>
      <c r="R10" s="9" t="s">
        <v>120</v>
      </c>
      <c r="S10" s="8" t="s">
        <v>67</v>
      </c>
      <c r="T10" s="8" t="s">
        <v>58</v>
      </c>
      <c r="U10" s="8" t="s">
        <v>121</v>
      </c>
      <c r="V10" s="5" t="s">
        <v>60</v>
      </c>
      <c r="W10" s="5"/>
    </row>
    <row r="11" spans="1:23" ht="45" x14ac:dyDescent="0.25">
      <c r="A11" s="5">
        <v>10</v>
      </c>
      <c r="B11" s="5" t="s">
        <v>14</v>
      </c>
      <c r="C11" s="5" t="s">
        <v>116</v>
      </c>
      <c r="D11" s="5" t="s">
        <v>122</v>
      </c>
      <c r="E11" s="5" t="s">
        <v>63</v>
      </c>
      <c r="F11" s="5" t="s">
        <v>64</v>
      </c>
      <c r="G11" s="5"/>
      <c r="H11" s="6"/>
      <c r="I11" s="6"/>
      <c r="J11" s="5" t="s">
        <v>51</v>
      </c>
      <c r="K11" s="5"/>
      <c r="L11" s="5"/>
      <c r="M11" s="5"/>
      <c r="N11" s="5" t="s">
        <v>118</v>
      </c>
      <c r="O11" s="5"/>
      <c r="P11" s="5" t="s">
        <v>123</v>
      </c>
      <c r="Q11" s="5" t="s">
        <v>55</v>
      </c>
      <c r="R11" s="9" t="s">
        <v>120</v>
      </c>
      <c r="S11" s="8" t="s">
        <v>67</v>
      </c>
      <c r="T11" s="8" t="s">
        <v>58</v>
      </c>
      <c r="U11" s="8" t="s">
        <v>124</v>
      </c>
      <c r="V11" s="5" t="s">
        <v>60</v>
      </c>
      <c r="W11" s="5"/>
    </row>
    <row r="12" spans="1:23" ht="45" x14ac:dyDescent="0.25">
      <c r="A12" s="5">
        <v>11</v>
      </c>
      <c r="B12" s="5" t="s">
        <v>14</v>
      </c>
      <c r="C12" s="5" t="s">
        <v>125</v>
      </c>
      <c r="D12" s="5" t="s">
        <v>126</v>
      </c>
      <c r="E12" s="5" t="s">
        <v>63</v>
      </c>
      <c r="F12" s="5" t="s">
        <v>64</v>
      </c>
      <c r="G12" s="5"/>
      <c r="H12" s="6"/>
      <c r="I12" s="6"/>
      <c r="J12" s="5" t="s">
        <v>51</v>
      </c>
      <c r="K12" s="5" t="s">
        <v>127</v>
      </c>
      <c r="L12" s="5"/>
      <c r="M12" s="5"/>
      <c r="N12" s="5" t="s">
        <v>128</v>
      </c>
      <c r="O12" s="5"/>
      <c r="P12" s="5"/>
      <c r="Q12" s="5" t="s">
        <v>55</v>
      </c>
      <c r="R12" s="9" t="s">
        <v>120</v>
      </c>
      <c r="S12" s="8" t="s">
        <v>129</v>
      </c>
      <c r="T12" s="8" t="s">
        <v>58</v>
      </c>
      <c r="U12" s="8" t="s">
        <v>129</v>
      </c>
      <c r="V12" s="5" t="s">
        <v>60</v>
      </c>
      <c r="W12" s="5"/>
    </row>
    <row r="13" spans="1:23" ht="30" x14ac:dyDescent="0.25">
      <c r="A13" s="5">
        <v>12</v>
      </c>
      <c r="B13" s="5" t="s">
        <v>14</v>
      </c>
      <c r="C13" s="5" t="s">
        <v>130</v>
      </c>
      <c r="D13" s="5" t="s">
        <v>131</v>
      </c>
      <c r="E13" s="5" t="s">
        <v>132</v>
      </c>
      <c r="F13" s="5" t="s">
        <v>104</v>
      </c>
      <c r="G13" s="5" t="s">
        <v>133</v>
      </c>
      <c r="H13" s="6">
        <v>13.884662499999999</v>
      </c>
      <c r="I13" s="6">
        <v>109.1167344</v>
      </c>
      <c r="J13" s="5" t="s">
        <v>134</v>
      </c>
      <c r="K13" s="5"/>
      <c r="L13" s="5"/>
      <c r="M13" s="5" t="s">
        <v>135</v>
      </c>
      <c r="N13" s="5"/>
      <c r="O13" s="5"/>
      <c r="P13" s="5"/>
      <c r="Q13" s="5" t="s">
        <v>109</v>
      </c>
      <c r="R13" s="9" t="s">
        <v>120</v>
      </c>
      <c r="S13" s="8" t="s">
        <v>136</v>
      </c>
      <c r="T13" s="8" t="s">
        <v>58</v>
      </c>
      <c r="U13" s="8" t="s">
        <v>136</v>
      </c>
      <c r="V13" s="5" t="s">
        <v>60</v>
      </c>
      <c r="W13" s="5"/>
    </row>
    <row r="14" spans="1:23" ht="30" x14ac:dyDescent="0.25">
      <c r="A14" s="5">
        <v>13</v>
      </c>
      <c r="B14" s="5" t="s">
        <v>14</v>
      </c>
      <c r="C14" s="5" t="s">
        <v>130</v>
      </c>
      <c r="D14" s="5" t="s">
        <v>137</v>
      </c>
      <c r="E14" s="5" t="s">
        <v>138</v>
      </c>
      <c r="F14" s="5" t="s">
        <v>64</v>
      </c>
      <c r="G14" s="5" t="s">
        <v>139</v>
      </c>
      <c r="H14" s="6">
        <v>13.8994125</v>
      </c>
      <c r="I14" s="6">
        <v>109.0197031</v>
      </c>
      <c r="J14" s="5" t="s">
        <v>140</v>
      </c>
      <c r="K14" s="5"/>
      <c r="L14" s="5"/>
      <c r="M14" s="5"/>
      <c r="N14" s="5"/>
      <c r="O14" s="5"/>
      <c r="P14" s="5" t="s">
        <v>141</v>
      </c>
      <c r="Q14" s="5" t="s">
        <v>109</v>
      </c>
      <c r="R14" s="9" t="s">
        <v>120</v>
      </c>
      <c r="S14" s="8" t="s">
        <v>142</v>
      </c>
      <c r="T14" s="8" t="s">
        <v>58</v>
      </c>
      <c r="U14" s="8" t="s">
        <v>142</v>
      </c>
      <c r="V14" s="5" t="s">
        <v>60</v>
      </c>
      <c r="W14" s="5"/>
    </row>
    <row r="15" spans="1:23" ht="45" x14ac:dyDescent="0.25">
      <c r="A15" s="5">
        <v>14</v>
      </c>
      <c r="B15" s="5" t="s">
        <v>14</v>
      </c>
      <c r="C15" s="5" t="s">
        <v>116</v>
      </c>
      <c r="D15" s="5" t="s">
        <v>143</v>
      </c>
      <c r="E15" s="5" t="s">
        <v>63</v>
      </c>
      <c r="F15" s="5" t="s">
        <v>64</v>
      </c>
      <c r="G15" s="5"/>
      <c r="H15" s="6"/>
      <c r="I15" s="6"/>
      <c r="J15" s="5" t="s">
        <v>51</v>
      </c>
      <c r="K15" s="5"/>
      <c r="L15" s="5"/>
      <c r="M15" s="5"/>
      <c r="N15" s="5" t="s">
        <v>144</v>
      </c>
      <c r="O15" s="5"/>
      <c r="P15" s="5" t="s">
        <v>145</v>
      </c>
      <c r="Q15" s="5" t="s">
        <v>55</v>
      </c>
      <c r="R15" s="9" t="s">
        <v>120</v>
      </c>
      <c r="S15" s="8" t="s">
        <v>67</v>
      </c>
      <c r="T15" s="8" t="s">
        <v>58</v>
      </c>
      <c r="U15" s="8" t="s">
        <v>146</v>
      </c>
      <c r="V15" s="5" t="s">
        <v>60</v>
      </c>
      <c r="W15" s="5"/>
    </row>
    <row r="16" spans="1:23" ht="30" x14ac:dyDescent="0.25">
      <c r="A16" s="5">
        <v>15</v>
      </c>
      <c r="B16" s="5" t="s">
        <v>14</v>
      </c>
      <c r="C16" s="5" t="s">
        <v>130</v>
      </c>
      <c r="D16" s="5" t="s">
        <v>147</v>
      </c>
      <c r="E16" s="5" t="s">
        <v>148</v>
      </c>
      <c r="F16" s="5" t="s">
        <v>104</v>
      </c>
      <c r="G16" s="5" t="s">
        <v>149</v>
      </c>
      <c r="H16" s="6">
        <v>13.886212499999999</v>
      </c>
      <c r="I16" s="6">
        <v>109.1117031</v>
      </c>
      <c r="J16" s="5" t="s">
        <v>150</v>
      </c>
      <c r="K16" s="5"/>
      <c r="L16" s="5"/>
      <c r="M16" s="5"/>
      <c r="N16" s="5"/>
      <c r="O16" s="5"/>
      <c r="P16" s="5"/>
      <c r="Q16" s="5" t="s">
        <v>109</v>
      </c>
      <c r="R16" s="9" t="s">
        <v>120</v>
      </c>
      <c r="S16" s="8" t="s">
        <v>151</v>
      </c>
      <c r="T16" s="8" t="s">
        <v>58</v>
      </c>
      <c r="U16" s="8" t="s">
        <v>151</v>
      </c>
      <c r="V16" s="5" t="s">
        <v>60</v>
      </c>
      <c r="W16" s="5"/>
    </row>
    <row r="17" spans="1:23" ht="45" x14ac:dyDescent="0.25">
      <c r="A17" s="5">
        <v>16</v>
      </c>
      <c r="B17" s="5" t="s">
        <v>14</v>
      </c>
      <c r="C17" s="5" t="s">
        <v>125</v>
      </c>
      <c r="D17" s="5" t="s">
        <v>152</v>
      </c>
      <c r="E17" s="5" t="s">
        <v>153</v>
      </c>
      <c r="F17" s="5" t="s">
        <v>92</v>
      </c>
      <c r="G17" s="5" t="s">
        <v>154</v>
      </c>
      <c r="H17" s="6">
        <v>13.891337500000001</v>
      </c>
      <c r="I17" s="6">
        <v>109.06389059999999</v>
      </c>
      <c r="J17" s="5" t="s">
        <v>155</v>
      </c>
      <c r="K17" s="5" t="s">
        <v>156</v>
      </c>
      <c r="L17" s="5"/>
      <c r="M17" s="5"/>
      <c r="N17" s="5" t="s">
        <v>157</v>
      </c>
      <c r="O17" s="5"/>
      <c r="P17" s="5"/>
      <c r="Q17" s="5" t="s">
        <v>55</v>
      </c>
      <c r="R17" s="9" t="s">
        <v>120</v>
      </c>
      <c r="S17" s="8" t="s">
        <v>158</v>
      </c>
      <c r="T17" s="8" t="s">
        <v>58</v>
      </c>
      <c r="U17" s="8" t="s">
        <v>158</v>
      </c>
      <c r="V17" s="5" t="s">
        <v>60</v>
      </c>
      <c r="W17" s="5"/>
    </row>
    <row r="18" spans="1:23" ht="30" x14ac:dyDescent="0.25">
      <c r="A18" s="5">
        <v>17</v>
      </c>
      <c r="B18" s="5" t="s">
        <v>14</v>
      </c>
      <c r="C18" s="5" t="s">
        <v>130</v>
      </c>
      <c r="D18" s="5" t="s">
        <v>159</v>
      </c>
      <c r="E18" s="5" t="s">
        <v>160</v>
      </c>
      <c r="F18" s="5" t="s">
        <v>104</v>
      </c>
      <c r="G18" s="5" t="s">
        <v>161</v>
      </c>
      <c r="H18" s="6">
        <v>13.8850125</v>
      </c>
      <c r="I18" s="6">
        <v>109.1168594</v>
      </c>
      <c r="J18" s="5" t="s">
        <v>162</v>
      </c>
      <c r="K18" s="5"/>
      <c r="L18" s="5"/>
      <c r="M18" s="5"/>
      <c r="N18" s="5"/>
      <c r="O18" s="5"/>
      <c r="P18" s="5"/>
      <c r="Q18" s="5" t="s">
        <v>109</v>
      </c>
      <c r="R18" s="9" t="s">
        <v>120</v>
      </c>
      <c r="S18" s="8" t="s">
        <v>163</v>
      </c>
      <c r="T18" s="8" t="s">
        <v>58</v>
      </c>
      <c r="U18" s="8" t="s">
        <v>163</v>
      </c>
      <c r="V18" s="5" t="s">
        <v>60</v>
      </c>
      <c r="W18" s="5"/>
    </row>
    <row r="19" spans="1:23" ht="45" x14ac:dyDescent="0.25">
      <c r="A19" s="5">
        <v>18</v>
      </c>
      <c r="B19" s="5" t="s">
        <v>14</v>
      </c>
      <c r="C19" s="5" t="s">
        <v>164</v>
      </c>
      <c r="D19" s="5" t="s">
        <v>165</v>
      </c>
      <c r="E19" s="5" t="s">
        <v>166</v>
      </c>
      <c r="F19" s="5" t="s">
        <v>92</v>
      </c>
      <c r="G19" s="5" t="s">
        <v>167</v>
      </c>
      <c r="H19" s="6">
        <v>13.8897125</v>
      </c>
      <c r="I19" s="6">
        <v>109.06151560000001</v>
      </c>
      <c r="J19" s="5" t="s">
        <v>168</v>
      </c>
      <c r="K19" s="5"/>
      <c r="L19" s="5"/>
      <c r="M19" s="5"/>
      <c r="N19" s="5" t="s">
        <v>169</v>
      </c>
      <c r="O19" s="5"/>
      <c r="P19" s="5"/>
      <c r="Q19" s="5" t="s">
        <v>55</v>
      </c>
      <c r="R19" s="9" t="s">
        <v>120</v>
      </c>
      <c r="S19" s="8" t="s">
        <v>170</v>
      </c>
      <c r="T19" s="8" t="s">
        <v>58</v>
      </c>
      <c r="U19" s="8" t="s">
        <v>170</v>
      </c>
      <c r="V19" s="5" t="s">
        <v>60</v>
      </c>
      <c r="W19" s="5"/>
    </row>
    <row r="20" spans="1:23" ht="45" x14ac:dyDescent="0.25">
      <c r="A20" s="5">
        <v>19</v>
      </c>
      <c r="B20" s="5" t="s">
        <v>14</v>
      </c>
      <c r="C20" s="5" t="s">
        <v>171</v>
      </c>
      <c r="D20" s="5" t="s">
        <v>172</v>
      </c>
      <c r="E20" s="5" t="s">
        <v>63</v>
      </c>
      <c r="F20" s="5" t="s">
        <v>64</v>
      </c>
      <c r="G20" s="5"/>
      <c r="H20" s="6"/>
      <c r="I20" s="6"/>
      <c r="J20" s="5" t="s">
        <v>51</v>
      </c>
      <c r="K20" s="5"/>
      <c r="L20" s="5"/>
      <c r="M20" s="5"/>
      <c r="N20" s="5" t="s">
        <v>173</v>
      </c>
      <c r="O20" s="5"/>
      <c r="P20" s="5" t="s">
        <v>174</v>
      </c>
      <c r="Q20" s="5" t="s">
        <v>55</v>
      </c>
      <c r="R20" s="9" t="s">
        <v>120</v>
      </c>
      <c r="S20" s="8" t="s">
        <v>86</v>
      </c>
      <c r="T20" s="8" t="s">
        <v>58</v>
      </c>
      <c r="U20" s="8" t="s">
        <v>175</v>
      </c>
      <c r="V20" s="5" t="s">
        <v>60</v>
      </c>
      <c r="W20" s="5"/>
    </row>
    <row r="21" spans="1:23" ht="45" x14ac:dyDescent="0.25">
      <c r="A21" s="5">
        <v>20</v>
      </c>
      <c r="B21" s="5" t="s">
        <v>14</v>
      </c>
      <c r="C21" s="5" t="s">
        <v>176</v>
      </c>
      <c r="D21" s="5" t="s">
        <v>177</v>
      </c>
      <c r="E21" s="5" t="s">
        <v>178</v>
      </c>
      <c r="F21" s="5" t="s">
        <v>64</v>
      </c>
      <c r="G21" s="5"/>
      <c r="H21" s="6"/>
      <c r="I21" s="6"/>
      <c r="J21" s="5" t="s">
        <v>51</v>
      </c>
      <c r="K21" s="5"/>
      <c r="L21" s="5"/>
      <c r="M21" s="5"/>
      <c r="N21" s="5" t="s">
        <v>179</v>
      </c>
      <c r="O21" s="5"/>
      <c r="P21" s="5" t="s">
        <v>180</v>
      </c>
      <c r="Q21" s="5" t="s">
        <v>55</v>
      </c>
      <c r="R21" s="9" t="s">
        <v>120</v>
      </c>
      <c r="S21" s="8" t="s">
        <v>86</v>
      </c>
      <c r="T21" s="8" t="s">
        <v>58</v>
      </c>
      <c r="U21" s="8" t="s">
        <v>181</v>
      </c>
      <c r="V21" s="5" t="s">
        <v>60</v>
      </c>
      <c r="W21" s="5"/>
    </row>
    <row r="22" spans="1:23" ht="45" x14ac:dyDescent="0.25">
      <c r="A22" s="5">
        <v>21</v>
      </c>
      <c r="B22" s="5" t="s">
        <v>14</v>
      </c>
      <c r="C22" s="5" t="s">
        <v>182</v>
      </c>
      <c r="D22" s="5" t="s">
        <v>183</v>
      </c>
      <c r="E22" s="5" t="s">
        <v>184</v>
      </c>
      <c r="F22" s="5" t="s">
        <v>64</v>
      </c>
      <c r="G22" s="5" t="s">
        <v>185</v>
      </c>
      <c r="H22" s="6">
        <v>13.9076875</v>
      </c>
      <c r="I22" s="6">
        <v>109.0123906</v>
      </c>
      <c r="J22" s="5" t="s">
        <v>186</v>
      </c>
      <c r="K22" s="5"/>
      <c r="L22" s="5"/>
      <c r="M22" s="5"/>
      <c r="N22" s="5" t="s">
        <v>187</v>
      </c>
      <c r="O22" s="5"/>
      <c r="P22" s="5"/>
      <c r="Q22" s="5" t="s">
        <v>55</v>
      </c>
      <c r="R22" s="9" t="s">
        <v>120</v>
      </c>
      <c r="S22" s="8" t="s">
        <v>188</v>
      </c>
      <c r="T22" s="8" t="s">
        <v>58</v>
      </c>
      <c r="U22" s="8" t="s">
        <v>188</v>
      </c>
      <c r="V22" s="5" t="s">
        <v>60</v>
      </c>
      <c r="W22" s="5"/>
    </row>
    <row r="23" spans="1:23" ht="30" x14ac:dyDescent="0.25">
      <c r="A23" s="5">
        <v>22</v>
      </c>
      <c r="B23" s="5" t="s">
        <v>14</v>
      </c>
      <c r="C23" s="5" t="s">
        <v>130</v>
      </c>
      <c r="D23" s="5" t="s">
        <v>189</v>
      </c>
      <c r="E23" s="5" t="s">
        <v>190</v>
      </c>
      <c r="F23" s="5" t="s">
        <v>64</v>
      </c>
      <c r="G23" s="5"/>
      <c r="H23" s="6"/>
      <c r="I23" s="6"/>
      <c r="J23" s="5" t="s">
        <v>105</v>
      </c>
      <c r="K23" s="5"/>
      <c r="L23" s="5"/>
      <c r="M23" s="5"/>
      <c r="N23" s="5"/>
      <c r="O23" s="5"/>
      <c r="P23" s="5"/>
      <c r="Q23" s="5" t="s">
        <v>191</v>
      </c>
      <c r="R23" s="9" t="s">
        <v>120</v>
      </c>
      <c r="S23" s="8" t="s">
        <v>192</v>
      </c>
      <c r="T23" s="8" t="s">
        <v>58</v>
      </c>
      <c r="U23" s="8" t="s">
        <v>192</v>
      </c>
      <c r="V23" s="5" t="s">
        <v>60</v>
      </c>
      <c r="W23" s="5"/>
    </row>
    <row r="24" spans="1:23" ht="30" x14ac:dyDescent="0.25">
      <c r="A24" s="5">
        <v>23</v>
      </c>
      <c r="B24" s="5" t="s">
        <v>14</v>
      </c>
      <c r="C24" s="5" t="s">
        <v>130</v>
      </c>
      <c r="D24" s="5" t="s">
        <v>193</v>
      </c>
      <c r="E24" s="5" t="s">
        <v>194</v>
      </c>
      <c r="F24" s="5" t="s">
        <v>104</v>
      </c>
      <c r="G24" s="5" t="s">
        <v>195</v>
      </c>
      <c r="H24" s="6">
        <v>13.891412499999999</v>
      </c>
      <c r="I24" s="6">
        <v>109.1008281</v>
      </c>
      <c r="J24" s="5" t="s">
        <v>196</v>
      </c>
      <c r="K24" s="5" t="s">
        <v>197</v>
      </c>
      <c r="L24" s="5"/>
      <c r="M24" s="5"/>
      <c r="N24" s="5"/>
      <c r="O24" s="5"/>
      <c r="P24" s="5"/>
      <c r="Q24" s="5" t="s">
        <v>109</v>
      </c>
      <c r="R24" s="9" t="s">
        <v>120</v>
      </c>
      <c r="S24" s="8" t="s">
        <v>198</v>
      </c>
      <c r="T24" s="8" t="s">
        <v>199</v>
      </c>
      <c r="U24" s="8" t="s">
        <v>198</v>
      </c>
      <c r="V24" s="5" t="s">
        <v>60</v>
      </c>
      <c r="W24" s="5"/>
    </row>
    <row r="25" spans="1:23" ht="30" x14ac:dyDescent="0.25">
      <c r="A25" s="5">
        <v>24</v>
      </c>
      <c r="B25" s="5" t="s">
        <v>14</v>
      </c>
      <c r="C25" s="5" t="s">
        <v>130</v>
      </c>
      <c r="D25" s="5" t="s">
        <v>200</v>
      </c>
      <c r="E25" s="5" t="s">
        <v>201</v>
      </c>
      <c r="F25" s="5" t="s">
        <v>202</v>
      </c>
      <c r="G25" s="5"/>
      <c r="H25" s="6"/>
      <c r="I25" s="6"/>
      <c r="J25" s="5" t="s">
        <v>105</v>
      </c>
      <c r="K25" s="5"/>
      <c r="L25" s="5"/>
      <c r="M25" s="5"/>
      <c r="N25" s="5"/>
      <c r="O25" s="5"/>
      <c r="P25" s="5"/>
      <c r="Q25" s="5" t="s">
        <v>109</v>
      </c>
      <c r="R25" s="10" t="s">
        <v>203</v>
      </c>
      <c r="S25" s="8" t="s">
        <v>204</v>
      </c>
      <c r="T25" s="8" t="s">
        <v>58</v>
      </c>
      <c r="U25" s="8" t="s">
        <v>204</v>
      </c>
      <c r="V25" s="5" t="s">
        <v>60</v>
      </c>
      <c r="W25" s="5"/>
    </row>
    <row r="26" spans="1:23" ht="45" x14ac:dyDescent="0.25">
      <c r="A26" s="5">
        <v>25</v>
      </c>
      <c r="B26" s="5" t="s">
        <v>14</v>
      </c>
      <c r="C26" s="5" t="s">
        <v>205</v>
      </c>
      <c r="D26" s="5" t="s">
        <v>206</v>
      </c>
      <c r="E26" s="5" t="s">
        <v>207</v>
      </c>
      <c r="F26" s="5" t="s">
        <v>64</v>
      </c>
      <c r="G26" s="5" t="s">
        <v>208</v>
      </c>
      <c r="H26" s="6">
        <v>13.906762499999999</v>
      </c>
      <c r="I26" s="6">
        <v>109.0180781</v>
      </c>
      <c r="J26" s="5" t="s">
        <v>209</v>
      </c>
      <c r="K26" s="5"/>
      <c r="L26" s="5"/>
      <c r="M26" s="5"/>
      <c r="N26" s="5" t="s">
        <v>210</v>
      </c>
      <c r="O26" s="5"/>
      <c r="P26" s="5"/>
      <c r="Q26" s="5" t="s">
        <v>55</v>
      </c>
      <c r="R26" s="9" t="s">
        <v>120</v>
      </c>
      <c r="S26" s="8" t="s">
        <v>211</v>
      </c>
      <c r="T26" s="8" t="s">
        <v>58</v>
      </c>
      <c r="U26" s="8" t="s">
        <v>211</v>
      </c>
      <c r="V26" s="5" t="s">
        <v>60</v>
      </c>
      <c r="W26" s="5"/>
    </row>
    <row r="27" spans="1:23" ht="45" x14ac:dyDescent="0.25">
      <c r="A27" s="5">
        <v>26</v>
      </c>
      <c r="B27" s="5" t="s">
        <v>14</v>
      </c>
      <c r="C27" s="5" t="s">
        <v>205</v>
      </c>
      <c r="D27" s="5" t="s">
        <v>212</v>
      </c>
      <c r="E27" s="5" t="s">
        <v>213</v>
      </c>
      <c r="F27" s="5" t="s">
        <v>92</v>
      </c>
      <c r="G27" s="5"/>
      <c r="H27" s="6"/>
      <c r="I27" s="6"/>
      <c r="J27" s="5" t="s">
        <v>51</v>
      </c>
      <c r="K27" s="5"/>
      <c r="L27" s="5"/>
      <c r="M27" s="5"/>
      <c r="N27" s="5" t="s">
        <v>210</v>
      </c>
      <c r="O27" s="5"/>
      <c r="P27" s="5" t="s">
        <v>214</v>
      </c>
      <c r="Q27" s="5" t="s">
        <v>55</v>
      </c>
      <c r="R27" s="7" t="s">
        <v>56</v>
      </c>
      <c r="S27" s="8" t="s">
        <v>215</v>
      </c>
      <c r="T27" s="8" t="s">
        <v>58</v>
      </c>
      <c r="U27" s="8" t="s">
        <v>216</v>
      </c>
      <c r="V27" s="5" t="s">
        <v>60</v>
      </c>
      <c r="W27" s="5"/>
    </row>
    <row r="28" spans="1:23" ht="30" x14ac:dyDescent="0.25">
      <c r="A28" s="5">
        <v>27</v>
      </c>
      <c r="B28" s="5" t="s">
        <v>14</v>
      </c>
      <c r="C28" s="5" t="s">
        <v>217</v>
      </c>
      <c r="D28" s="5" t="s">
        <v>218</v>
      </c>
      <c r="E28" s="5" t="s">
        <v>219</v>
      </c>
      <c r="F28" s="5" t="s">
        <v>104</v>
      </c>
      <c r="G28" s="5" t="s">
        <v>220</v>
      </c>
      <c r="H28" s="6">
        <v>13.8903625</v>
      </c>
      <c r="I28" s="6">
        <v>109.1092031</v>
      </c>
      <c r="J28" s="5" t="s">
        <v>221</v>
      </c>
      <c r="K28" s="5"/>
      <c r="L28" s="5"/>
      <c r="M28" s="5"/>
      <c r="N28" s="5"/>
      <c r="O28" s="5"/>
      <c r="P28" s="5" t="s">
        <v>222</v>
      </c>
      <c r="Q28" s="5" t="s">
        <v>109</v>
      </c>
      <c r="R28" s="9" t="s">
        <v>120</v>
      </c>
      <c r="S28" s="8" t="s">
        <v>223</v>
      </c>
      <c r="T28" s="8" t="s">
        <v>58</v>
      </c>
      <c r="U28" s="8" t="s">
        <v>223</v>
      </c>
      <c r="V28" s="5" t="s">
        <v>60</v>
      </c>
      <c r="W28" s="5"/>
    </row>
    <row r="29" spans="1:23" ht="45" x14ac:dyDescent="0.25">
      <c r="A29" s="5">
        <v>28</v>
      </c>
      <c r="B29" s="5" t="s">
        <v>14</v>
      </c>
      <c r="C29" s="5" t="s">
        <v>224</v>
      </c>
      <c r="D29" s="5" t="s">
        <v>225</v>
      </c>
      <c r="E29" s="5" t="s">
        <v>226</v>
      </c>
      <c r="F29" s="5" t="s">
        <v>92</v>
      </c>
      <c r="G29" s="5" t="s">
        <v>227</v>
      </c>
      <c r="H29" s="6">
        <v>13.892087500000001</v>
      </c>
      <c r="I29" s="6">
        <v>109.0767656</v>
      </c>
      <c r="J29" s="5" t="s">
        <v>228</v>
      </c>
      <c r="K29" s="5"/>
      <c r="L29" s="5"/>
      <c r="M29" s="5"/>
      <c r="N29" s="5" t="s">
        <v>229</v>
      </c>
      <c r="O29" s="5"/>
      <c r="P29" s="5" t="s">
        <v>230</v>
      </c>
      <c r="Q29" s="5" t="s">
        <v>55</v>
      </c>
      <c r="R29" s="9" t="s">
        <v>120</v>
      </c>
      <c r="S29" s="8" t="s">
        <v>231</v>
      </c>
      <c r="T29" s="8" t="s">
        <v>58</v>
      </c>
      <c r="U29" s="8" t="s">
        <v>231</v>
      </c>
      <c r="V29" s="5" t="s">
        <v>60</v>
      </c>
      <c r="W29" s="5"/>
    </row>
    <row r="30" spans="1:23" ht="45" x14ac:dyDescent="0.25">
      <c r="A30" s="5">
        <v>29</v>
      </c>
      <c r="B30" s="5" t="s">
        <v>14</v>
      </c>
      <c r="C30" s="5" t="s">
        <v>232</v>
      </c>
      <c r="D30" s="5" t="s">
        <v>233</v>
      </c>
      <c r="E30" s="5" t="s">
        <v>178</v>
      </c>
      <c r="F30" s="5" t="s">
        <v>64</v>
      </c>
      <c r="G30" s="5"/>
      <c r="H30" s="6"/>
      <c r="I30" s="6"/>
      <c r="J30" s="5" t="s">
        <v>51</v>
      </c>
      <c r="K30" s="5"/>
      <c r="L30" s="5"/>
      <c r="M30" s="5"/>
      <c r="N30" s="5" t="s">
        <v>234</v>
      </c>
      <c r="O30" s="5"/>
      <c r="P30" s="5" t="s">
        <v>235</v>
      </c>
      <c r="Q30" s="5" t="s">
        <v>55</v>
      </c>
      <c r="R30" s="10" t="s">
        <v>203</v>
      </c>
      <c r="S30" s="8" t="s">
        <v>67</v>
      </c>
      <c r="T30" s="8" t="s">
        <v>58</v>
      </c>
      <c r="U30" s="8" t="s">
        <v>236</v>
      </c>
      <c r="V30" s="5" t="s">
        <v>60</v>
      </c>
      <c r="W30" s="5" t="s">
        <v>237</v>
      </c>
    </row>
    <row r="31" spans="1:23" ht="30" x14ac:dyDescent="0.25">
      <c r="A31" s="5">
        <v>30</v>
      </c>
      <c r="B31" s="5" t="s">
        <v>15</v>
      </c>
      <c r="C31" s="5" t="s">
        <v>238</v>
      </c>
      <c r="D31" s="5" t="s">
        <v>239</v>
      </c>
      <c r="E31" s="5" t="s">
        <v>240</v>
      </c>
      <c r="F31" s="5" t="s">
        <v>104</v>
      </c>
      <c r="G31" s="5"/>
      <c r="H31" s="6"/>
      <c r="I31" s="6"/>
      <c r="J31" s="5" t="s">
        <v>105</v>
      </c>
      <c r="K31" s="5" t="s">
        <v>241</v>
      </c>
      <c r="L31" s="5"/>
      <c r="M31" s="5"/>
      <c r="N31" s="5"/>
      <c r="O31" s="5"/>
      <c r="P31" s="5"/>
      <c r="Q31" s="5" t="s">
        <v>109</v>
      </c>
      <c r="R31" s="9" t="s">
        <v>120</v>
      </c>
      <c r="S31" s="8" t="s">
        <v>242</v>
      </c>
      <c r="T31" s="8" t="s">
        <v>58</v>
      </c>
      <c r="U31" s="8" t="s">
        <v>242</v>
      </c>
      <c r="V31" s="5" t="s">
        <v>60</v>
      </c>
      <c r="W31" s="5"/>
    </row>
    <row r="32" spans="1:23" ht="30" x14ac:dyDescent="0.25">
      <c r="A32" s="5">
        <v>31</v>
      </c>
      <c r="B32" s="5" t="s">
        <v>15</v>
      </c>
      <c r="C32" s="5" t="s">
        <v>243</v>
      </c>
      <c r="D32" s="5" t="s">
        <v>244</v>
      </c>
      <c r="E32" s="5" t="s">
        <v>245</v>
      </c>
      <c r="F32" s="5" t="s">
        <v>104</v>
      </c>
      <c r="G32" s="5"/>
      <c r="H32" s="6">
        <v>13.884285800000001</v>
      </c>
      <c r="I32" s="6">
        <v>109.1141796</v>
      </c>
      <c r="J32" s="5" t="s">
        <v>246</v>
      </c>
      <c r="K32" s="5" t="s">
        <v>247</v>
      </c>
      <c r="L32" s="5" t="s">
        <v>248</v>
      </c>
      <c r="M32" s="5"/>
      <c r="N32" s="5"/>
      <c r="O32" s="5"/>
      <c r="P32" s="5" t="s">
        <v>249</v>
      </c>
      <c r="Q32" s="5" t="s">
        <v>109</v>
      </c>
      <c r="R32" s="7" t="s">
        <v>56</v>
      </c>
      <c r="S32" s="8" t="s">
        <v>250</v>
      </c>
      <c r="T32" s="8" t="s">
        <v>251</v>
      </c>
      <c r="U32" s="8" t="s">
        <v>252</v>
      </c>
      <c r="V32" s="5" t="s">
        <v>60</v>
      </c>
      <c r="W32" s="5"/>
    </row>
    <row r="33" spans="1:23" ht="45" x14ac:dyDescent="0.25">
      <c r="A33" s="5">
        <v>32</v>
      </c>
      <c r="B33" s="5" t="s">
        <v>15</v>
      </c>
      <c r="C33" s="5" t="s">
        <v>253</v>
      </c>
      <c r="D33" s="5" t="s">
        <v>254</v>
      </c>
      <c r="E33" s="5" t="s">
        <v>255</v>
      </c>
      <c r="F33" s="5" t="s">
        <v>64</v>
      </c>
      <c r="G33" s="5" t="s">
        <v>256</v>
      </c>
      <c r="H33" s="6">
        <v>13.906962500000001</v>
      </c>
      <c r="I33" s="6">
        <v>109.0155156</v>
      </c>
      <c r="J33" s="5" t="s">
        <v>257</v>
      </c>
      <c r="K33" s="5" t="s">
        <v>258</v>
      </c>
      <c r="L33" s="5"/>
      <c r="M33" s="5"/>
      <c r="N33" s="5" t="s">
        <v>259</v>
      </c>
      <c r="O33" s="5"/>
      <c r="P33" s="5"/>
      <c r="Q33" s="5" t="s">
        <v>55</v>
      </c>
      <c r="R33" s="9" t="s">
        <v>120</v>
      </c>
      <c r="S33" s="8" t="s">
        <v>260</v>
      </c>
      <c r="T33" s="8" t="s">
        <v>58</v>
      </c>
      <c r="U33" s="8" t="s">
        <v>260</v>
      </c>
      <c r="V33" s="5" t="s">
        <v>60</v>
      </c>
      <c r="W33" s="5"/>
    </row>
    <row r="34" spans="1:23" ht="30" x14ac:dyDescent="0.25">
      <c r="A34" s="5">
        <v>33</v>
      </c>
      <c r="B34" s="5" t="s">
        <v>15</v>
      </c>
      <c r="C34" s="5" t="s">
        <v>253</v>
      </c>
      <c r="D34" s="5" t="s">
        <v>261</v>
      </c>
      <c r="E34" s="5" t="s">
        <v>262</v>
      </c>
      <c r="F34" s="5" t="s">
        <v>104</v>
      </c>
      <c r="G34" s="5"/>
      <c r="H34" s="6"/>
      <c r="I34" s="6"/>
      <c r="J34" s="5" t="s">
        <v>105</v>
      </c>
      <c r="K34" s="5"/>
      <c r="L34" s="5"/>
      <c r="M34" s="5"/>
      <c r="N34" s="5"/>
      <c r="O34" s="5"/>
      <c r="P34" s="5"/>
      <c r="Q34" s="5" t="s">
        <v>109</v>
      </c>
      <c r="R34" s="10" t="s">
        <v>203</v>
      </c>
      <c r="S34" s="8" t="s">
        <v>263</v>
      </c>
      <c r="T34" s="8" t="s">
        <v>58</v>
      </c>
      <c r="U34" s="8" t="s">
        <v>263</v>
      </c>
      <c r="V34" s="5" t="s">
        <v>60</v>
      </c>
      <c r="W34" s="5"/>
    </row>
    <row r="35" spans="1:23" ht="45" x14ac:dyDescent="0.25">
      <c r="A35" s="5">
        <v>34</v>
      </c>
      <c r="B35" s="5" t="s">
        <v>15</v>
      </c>
      <c r="C35" s="5" t="s">
        <v>253</v>
      </c>
      <c r="D35" s="5" t="s">
        <v>264</v>
      </c>
      <c r="E35" s="5" t="s">
        <v>265</v>
      </c>
      <c r="F35" s="5" t="s">
        <v>72</v>
      </c>
      <c r="G35" s="5" t="s">
        <v>266</v>
      </c>
      <c r="H35" s="6">
        <v>13.8905125</v>
      </c>
      <c r="I35" s="6">
        <v>109.1162344</v>
      </c>
      <c r="J35" s="5" t="s">
        <v>267</v>
      </c>
      <c r="K35" s="5" t="s">
        <v>268</v>
      </c>
      <c r="L35" s="5"/>
      <c r="M35" s="5"/>
      <c r="N35" s="5" t="s">
        <v>259</v>
      </c>
      <c r="O35" s="5"/>
      <c r="P35" s="5"/>
      <c r="Q35" s="5" t="s">
        <v>55</v>
      </c>
      <c r="R35" s="9" t="s">
        <v>120</v>
      </c>
      <c r="S35" s="8" t="s">
        <v>269</v>
      </c>
      <c r="T35" s="8" t="s">
        <v>58</v>
      </c>
      <c r="U35" s="8" t="s">
        <v>269</v>
      </c>
      <c r="V35" s="5" t="s">
        <v>60</v>
      </c>
      <c r="W35" s="5"/>
    </row>
    <row r="36" spans="1:23" ht="30" x14ac:dyDescent="0.25">
      <c r="A36" s="5">
        <v>35</v>
      </c>
      <c r="B36" s="5" t="s">
        <v>15</v>
      </c>
      <c r="C36" s="5" t="s">
        <v>243</v>
      </c>
      <c r="D36" s="5" t="s">
        <v>270</v>
      </c>
      <c r="E36" s="5" t="s">
        <v>271</v>
      </c>
      <c r="F36" s="5" t="s">
        <v>104</v>
      </c>
      <c r="G36" s="5" t="s">
        <v>272</v>
      </c>
      <c r="H36" s="6">
        <v>13.8853125</v>
      </c>
      <c r="I36" s="6">
        <v>109.1213906</v>
      </c>
      <c r="J36" s="5" t="s">
        <v>273</v>
      </c>
      <c r="K36" s="5" t="s">
        <v>274</v>
      </c>
      <c r="L36" s="5"/>
      <c r="M36" s="5"/>
      <c r="N36" s="5"/>
      <c r="O36" s="5"/>
      <c r="P36" s="5"/>
      <c r="Q36" s="5" t="s">
        <v>109</v>
      </c>
      <c r="R36" s="9" t="s">
        <v>120</v>
      </c>
      <c r="S36" s="8" t="s">
        <v>275</v>
      </c>
      <c r="T36" s="8" t="s">
        <v>58</v>
      </c>
      <c r="U36" s="8" t="s">
        <v>275</v>
      </c>
      <c r="V36" s="5" t="s">
        <v>60</v>
      </c>
      <c r="W36" s="5"/>
    </row>
    <row r="37" spans="1:23" ht="30" x14ac:dyDescent="0.25">
      <c r="A37" s="5">
        <v>36</v>
      </c>
      <c r="B37" s="5" t="s">
        <v>15</v>
      </c>
      <c r="C37" s="5" t="s">
        <v>243</v>
      </c>
      <c r="D37" s="5" t="s">
        <v>276</v>
      </c>
      <c r="E37" s="5" t="s">
        <v>277</v>
      </c>
      <c r="F37" s="5" t="s">
        <v>104</v>
      </c>
      <c r="G37" s="5"/>
      <c r="H37" s="6"/>
      <c r="I37" s="6"/>
      <c r="J37" s="5" t="s">
        <v>105</v>
      </c>
      <c r="K37" s="5" t="s">
        <v>278</v>
      </c>
      <c r="L37" s="5"/>
      <c r="M37" s="5"/>
      <c r="N37" s="5"/>
      <c r="O37" s="5"/>
      <c r="P37" s="5"/>
      <c r="Q37" s="5" t="s">
        <v>109</v>
      </c>
      <c r="R37" s="9" t="s">
        <v>120</v>
      </c>
      <c r="S37" s="8" t="s">
        <v>279</v>
      </c>
      <c r="T37" s="8" t="s">
        <v>58</v>
      </c>
      <c r="U37" s="8" t="s">
        <v>279</v>
      </c>
      <c r="V37" s="5" t="s">
        <v>60</v>
      </c>
      <c r="W37" s="5"/>
    </row>
    <row r="38" spans="1:23" ht="30" x14ac:dyDescent="0.25">
      <c r="A38" s="5">
        <v>37</v>
      </c>
      <c r="B38" s="5" t="s">
        <v>15</v>
      </c>
      <c r="C38" s="5" t="s">
        <v>243</v>
      </c>
      <c r="D38" s="5" t="s">
        <v>280</v>
      </c>
      <c r="E38" s="5" t="s">
        <v>281</v>
      </c>
      <c r="F38" s="5" t="s">
        <v>104</v>
      </c>
      <c r="G38" s="5"/>
      <c r="H38" s="6"/>
      <c r="I38" s="6"/>
      <c r="J38" s="5" t="s">
        <v>105</v>
      </c>
      <c r="K38" s="5" t="s">
        <v>282</v>
      </c>
      <c r="L38" s="5" t="s">
        <v>283</v>
      </c>
      <c r="M38" s="5" t="s">
        <v>284</v>
      </c>
      <c r="N38" s="5"/>
      <c r="O38" s="5"/>
      <c r="P38" s="5" t="s">
        <v>285</v>
      </c>
      <c r="Q38" s="5" t="s">
        <v>109</v>
      </c>
      <c r="R38" s="7" t="s">
        <v>56</v>
      </c>
      <c r="S38" s="8" t="s">
        <v>286</v>
      </c>
      <c r="T38" s="8" t="s">
        <v>58</v>
      </c>
      <c r="U38" s="8" t="s">
        <v>287</v>
      </c>
      <c r="V38" s="5" t="s">
        <v>60</v>
      </c>
      <c r="W38" s="5"/>
    </row>
    <row r="39" spans="1:23" ht="30" x14ac:dyDescent="0.25">
      <c r="A39" s="5">
        <v>38</v>
      </c>
      <c r="B39" s="5" t="s">
        <v>16</v>
      </c>
      <c r="C39" s="5" t="s">
        <v>288</v>
      </c>
      <c r="D39" s="5" t="s">
        <v>289</v>
      </c>
      <c r="E39" s="5" t="s">
        <v>290</v>
      </c>
      <c r="F39" s="5" t="s">
        <v>104</v>
      </c>
      <c r="G39" s="5"/>
      <c r="H39" s="6"/>
      <c r="I39" s="6"/>
      <c r="J39" s="5" t="s">
        <v>105</v>
      </c>
      <c r="K39" s="5" t="s">
        <v>291</v>
      </c>
      <c r="L39" s="5"/>
      <c r="M39" s="5" t="s">
        <v>292</v>
      </c>
      <c r="N39" s="5"/>
      <c r="O39" s="5"/>
      <c r="P39" s="5"/>
      <c r="Q39" s="5" t="s">
        <v>109</v>
      </c>
      <c r="R39" s="9" t="s">
        <v>120</v>
      </c>
      <c r="S39" s="8" t="s">
        <v>293</v>
      </c>
      <c r="T39" s="8" t="s">
        <v>58</v>
      </c>
      <c r="U39" s="8" t="s">
        <v>293</v>
      </c>
      <c r="V39" s="5" t="s">
        <v>60</v>
      </c>
      <c r="W39" s="5"/>
    </row>
    <row r="40" spans="1:23" ht="45" x14ac:dyDescent="0.25">
      <c r="A40" s="5">
        <v>39</v>
      </c>
      <c r="B40" s="5" t="s">
        <v>16</v>
      </c>
      <c r="C40" s="5" t="s">
        <v>294</v>
      </c>
      <c r="D40" s="5" t="s">
        <v>295</v>
      </c>
      <c r="E40" s="5" t="s">
        <v>296</v>
      </c>
      <c r="F40" s="5" t="s">
        <v>72</v>
      </c>
      <c r="G40" s="5" t="s">
        <v>297</v>
      </c>
      <c r="H40" s="6">
        <v>13.8837125</v>
      </c>
      <c r="I40" s="6">
        <v>109.1146719</v>
      </c>
      <c r="J40" s="5" t="s">
        <v>298</v>
      </c>
      <c r="K40" s="5"/>
      <c r="L40" s="5"/>
      <c r="M40" s="5"/>
      <c r="N40" s="5" t="s">
        <v>299</v>
      </c>
      <c r="O40" s="5"/>
      <c r="P40" s="5"/>
      <c r="Q40" s="5" t="s">
        <v>55</v>
      </c>
      <c r="R40" s="9" t="s">
        <v>120</v>
      </c>
      <c r="S40" s="8" t="s">
        <v>300</v>
      </c>
      <c r="T40" s="8" t="s">
        <v>58</v>
      </c>
      <c r="U40" s="8" t="s">
        <v>300</v>
      </c>
      <c r="V40" s="5" t="s">
        <v>60</v>
      </c>
      <c r="W40" s="5"/>
    </row>
    <row r="41" spans="1:23" ht="45" x14ac:dyDescent="0.25">
      <c r="A41" s="5">
        <v>40</v>
      </c>
      <c r="B41" s="5" t="s">
        <v>16</v>
      </c>
      <c r="C41" s="5" t="s">
        <v>301</v>
      </c>
      <c r="D41" s="5" t="s">
        <v>302</v>
      </c>
      <c r="E41" s="5" t="s">
        <v>303</v>
      </c>
      <c r="F41" s="5" t="s">
        <v>72</v>
      </c>
      <c r="G41" s="5"/>
      <c r="H41" s="6"/>
      <c r="I41" s="6"/>
      <c r="J41" s="5" t="s">
        <v>51</v>
      </c>
      <c r="K41" s="5"/>
      <c r="L41" s="5"/>
      <c r="M41" s="5"/>
      <c r="N41" s="5" t="s">
        <v>304</v>
      </c>
      <c r="O41" s="5"/>
      <c r="P41" s="5"/>
      <c r="Q41" s="5" t="s">
        <v>55</v>
      </c>
      <c r="R41" s="9" t="s">
        <v>120</v>
      </c>
      <c r="S41" s="8" t="s">
        <v>305</v>
      </c>
      <c r="T41" s="8" t="s">
        <v>58</v>
      </c>
      <c r="U41" s="8" t="s">
        <v>305</v>
      </c>
      <c r="V41" s="5" t="s">
        <v>60</v>
      </c>
      <c r="W41" s="5"/>
    </row>
    <row r="42" spans="1:23" ht="45" x14ac:dyDescent="0.25">
      <c r="A42" s="5">
        <v>41</v>
      </c>
      <c r="B42" s="5" t="s">
        <v>16</v>
      </c>
      <c r="C42" s="5" t="s">
        <v>306</v>
      </c>
      <c r="D42" s="5" t="s">
        <v>307</v>
      </c>
      <c r="E42" s="5" t="s">
        <v>308</v>
      </c>
      <c r="F42" s="5" t="s">
        <v>72</v>
      </c>
      <c r="G42" s="5"/>
      <c r="H42" s="6"/>
      <c r="I42" s="6"/>
      <c r="J42" s="5" t="s">
        <v>51</v>
      </c>
      <c r="K42" s="5"/>
      <c r="L42" s="5"/>
      <c r="M42" s="5"/>
      <c r="N42" s="5" t="s">
        <v>309</v>
      </c>
      <c r="O42" s="5"/>
      <c r="P42" s="5"/>
      <c r="Q42" s="5" t="s">
        <v>55</v>
      </c>
      <c r="R42" s="9" t="s">
        <v>120</v>
      </c>
      <c r="S42" s="8" t="s">
        <v>310</v>
      </c>
      <c r="T42" s="8" t="s">
        <v>58</v>
      </c>
      <c r="U42" s="8" t="s">
        <v>310</v>
      </c>
      <c r="V42" s="5" t="s">
        <v>60</v>
      </c>
      <c r="W42" s="5"/>
    </row>
    <row r="43" spans="1:23" ht="45" x14ac:dyDescent="0.25">
      <c r="A43" s="5">
        <v>42</v>
      </c>
      <c r="B43" s="5" t="s">
        <v>16</v>
      </c>
      <c r="C43" s="5" t="s">
        <v>306</v>
      </c>
      <c r="D43" s="5" t="s">
        <v>311</v>
      </c>
      <c r="E43" s="5" t="s">
        <v>312</v>
      </c>
      <c r="F43" s="5" t="s">
        <v>72</v>
      </c>
      <c r="G43" s="5"/>
      <c r="H43" s="6"/>
      <c r="I43" s="6"/>
      <c r="J43" s="5" t="s">
        <v>51</v>
      </c>
      <c r="K43" s="5"/>
      <c r="L43" s="5"/>
      <c r="M43" s="5"/>
      <c r="N43" s="5" t="s">
        <v>309</v>
      </c>
      <c r="O43" s="5"/>
      <c r="P43" s="5"/>
      <c r="Q43" s="5" t="s">
        <v>55</v>
      </c>
      <c r="R43" s="9" t="s">
        <v>120</v>
      </c>
      <c r="S43" s="8" t="s">
        <v>313</v>
      </c>
      <c r="T43" s="8" t="s">
        <v>58</v>
      </c>
      <c r="U43" s="8" t="s">
        <v>313</v>
      </c>
      <c r="V43" s="5" t="s">
        <v>60</v>
      </c>
      <c r="W43" s="5"/>
    </row>
    <row r="44" spans="1:23" ht="45" x14ac:dyDescent="0.25">
      <c r="A44" s="5">
        <v>43</v>
      </c>
      <c r="B44" s="5" t="s">
        <v>16</v>
      </c>
      <c r="C44" s="5" t="s">
        <v>314</v>
      </c>
      <c r="D44" s="5" t="s">
        <v>315</v>
      </c>
      <c r="E44" s="5" t="s">
        <v>316</v>
      </c>
      <c r="F44" s="5" t="s">
        <v>64</v>
      </c>
      <c r="G44" s="5" t="s">
        <v>317</v>
      </c>
      <c r="H44" s="6">
        <v>13.908837500000001</v>
      </c>
      <c r="I44" s="6">
        <v>109.0217344</v>
      </c>
      <c r="J44" s="5" t="s">
        <v>318</v>
      </c>
      <c r="K44" s="5" t="s">
        <v>319</v>
      </c>
      <c r="L44" s="5"/>
      <c r="M44" s="5"/>
      <c r="N44" s="5" t="s">
        <v>320</v>
      </c>
      <c r="O44" s="5"/>
      <c r="P44" s="5"/>
      <c r="Q44" s="5" t="s">
        <v>55</v>
      </c>
      <c r="R44" s="9" t="s">
        <v>120</v>
      </c>
      <c r="S44" s="8" t="s">
        <v>321</v>
      </c>
      <c r="T44" s="8" t="s">
        <v>58</v>
      </c>
      <c r="U44" s="8" t="s">
        <v>321</v>
      </c>
      <c r="V44" s="5" t="s">
        <v>60</v>
      </c>
      <c r="W44" s="5"/>
    </row>
    <row r="45" spans="1:23" ht="45" x14ac:dyDescent="0.25">
      <c r="A45" s="5">
        <v>44</v>
      </c>
      <c r="B45" s="5" t="s">
        <v>16</v>
      </c>
      <c r="C45" s="5" t="s">
        <v>322</v>
      </c>
      <c r="D45" s="5" t="s">
        <v>323</v>
      </c>
      <c r="E45" s="5" t="s">
        <v>324</v>
      </c>
      <c r="F45" s="5" t="s">
        <v>72</v>
      </c>
      <c r="G45" s="5"/>
      <c r="H45" s="6"/>
      <c r="I45" s="6"/>
      <c r="J45" s="5" t="s">
        <v>51</v>
      </c>
      <c r="K45" s="5" t="s">
        <v>325</v>
      </c>
      <c r="L45" s="5"/>
      <c r="M45" s="5"/>
      <c r="N45" s="5" t="s">
        <v>326</v>
      </c>
      <c r="O45" s="5"/>
      <c r="P45" s="5"/>
      <c r="Q45" s="5" t="s">
        <v>55</v>
      </c>
      <c r="R45" s="9" t="s">
        <v>120</v>
      </c>
      <c r="S45" s="8" t="s">
        <v>327</v>
      </c>
      <c r="T45" s="8" t="s">
        <v>58</v>
      </c>
      <c r="U45" s="8" t="s">
        <v>327</v>
      </c>
      <c r="V45" s="5" t="s">
        <v>60</v>
      </c>
      <c r="W45" s="5"/>
    </row>
    <row r="46" spans="1:23" ht="45" x14ac:dyDescent="0.25">
      <c r="A46" s="5">
        <v>45</v>
      </c>
      <c r="B46" s="5" t="s">
        <v>16</v>
      </c>
      <c r="C46" s="5" t="s">
        <v>328</v>
      </c>
      <c r="D46" s="5" t="s">
        <v>329</v>
      </c>
      <c r="E46" s="5" t="s">
        <v>330</v>
      </c>
      <c r="F46" s="5" t="s">
        <v>72</v>
      </c>
      <c r="G46" s="5"/>
      <c r="H46" s="6"/>
      <c r="I46" s="6"/>
      <c r="J46" s="5" t="s">
        <v>51</v>
      </c>
      <c r="K46" s="5" t="s">
        <v>331</v>
      </c>
      <c r="L46" s="5"/>
      <c r="M46" s="5"/>
      <c r="N46" s="5" t="s">
        <v>332</v>
      </c>
      <c r="O46" s="5"/>
      <c r="P46" s="5"/>
      <c r="Q46" s="5" t="s">
        <v>55</v>
      </c>
      <c r="R46" s="9" t="s">
        <v>120</v>
      </c>
      <c r="S46" s="8" t="s">
        <v>333</v>
      </c>
      <c r="T46" s="8" t="s">
        <v>58</v>
      </c>
      <c r="U46" s="8" t="s">
        <v>333</v>
      </c>
      <c r="V46" s="5" t="s">
        <v>60</v>
      </c>
      <c r="W46" s="5"/>
    </row>
    <row r="47" spans="1:23" ht="45" x14ac:dyDescent="0.25">
      <c r="A47" s="5">
        <v>46</v>
      </c>
      <c r="B47" s="5" t="s">
        <v>16</v>
      </c>
      <c r="C47" s="5" t="s">
        <v>334</v>
      </c>
      <c r="D47" s="5" t="s">
        <v>335</v>
      </c>
      <c r="E47" s="5" t="s">
        <v>336</v>
      </c>
      <c r="F47" s="5" t="s">
        <v>72</v>
      </c>
      <c r="G47" s="5"/>
      <c r="H47" s="6"/>
      <c r="I47" s="6"/>
      <c r="J47" s="5" t="s">
        <v>51</v>
      </c>
      <c r="K47" s="5" t="s">
        <v>337</v>
      </c>
      <c r="L47" s="5"/>
      <c r="M47" s="5"/>
      <c r="N47" s="5" t="s">
        <v>338</v>
      </c>
      <c r="O47" s="5"/>
      <c r="P47" s="5"/>
      <c r="Q47" s="5" t="s">
        <v>55</v>
      </c>
      <c r="R47" s="9" t="s">
        <v>120</v>
      </c>
      <c r="S47" s="8" t="s">
        <v>339</v>
      </c>
      <c r="T47" s="8" t="s">
        <v>58</v>
      </c>
      <c r="U47" s="8" t="s">
        <v>339</v>
      </c>
      <c r="V47" s="5" t="s">
        <v>60</v>
      </c>
      <c r="W47" s="5"/>
    </row>
    <row r="48" spans="1:23" ht="45" x14ac:dyDescent="0.25">
      <c r="A48" s="5">
        <v>47</v>
      </c>
      <c r="B48" s="5" t="s">
        <v>16</v>
      </c>
      <c r="C48" s="5" t="s">
        <v>334</v>
      </c>
      <c r="D48" s="5" t="s">
        <v>340</v>
      </c>
      <c r="E48" s="5" t="s">
        <v>341</v>
      </c>
      <c r="F48" s="5" t="s">
        <v>72</v>
      </c>
      <c r="G48" s="5"/>
      <c r="H48" s="6"/>
      <c r="I48" s="6"/>
      <c r="J48" s="5" t="s">
        <v>51</v>
      </c>
      <c r="K48" s="5" t="s">
        <v>342</v>
      </c>
      <c r="L48" s="5"/>
      <c r="M48" s="5"/>
      <c r="N48" s="5" t="s">
        <v>338</v>
      </c>
      <c r="O48" s="5"/>
      <c r="P48" s="5"/>
      <c r="Q48" s="5" t="s">
        <v>55</v>
      </c>
      <c r="R48" s="9" t="s">
        <v>120</v>
      </c>
      <c r="S48" s="8" t="s">
        <v>343</v>
      </c>
      <c r="T48" s="8" t="s">
        <v>58</v>
      </c>
      <c r="U48" s="8" t="s">
        <v>343</v>
      </c>
      <c r="V48" s="5" t="s">
        <v>60</v>
      </c>
      <c r="W48" s="5"/>
    </row>
    <row r="49" spans="1:23" ht="45" x14ac:dyDescent="0.25">
      <c r="A49" s="5">
        <v>48</v>
      </c>
      <c r="B49" s="5" t="s">
        <v>16</v>
      </c>
      <c r="C49" s="5" t="s">
        <v>344</v>
      </c>
      <c r="D49" s="5" t="s">
        <v>345</v>
      </c>
      <c r="E49" s="5" t="s">
        <v>346</v>
      </c>
      <c r="F49" s="5" t="s">
        <v>72</v>
      </c>
      <c r="G49" s="5"/>
      <c r="H49" s="6"/>
      <c r="I49" s="6"/>
      <c r="J49" s="5" t="s">
        <v>51</v>
      </c>
      <c r="K49" s="5" t="s">
        <v>347</v>
      </c>
      <c r="L49" s="5"/>
      <c r="M49" s="5"/>
      <c r="N49" s="5" t="s">
        <v>348</v>
      </c>
      <c r="O49" s="5"/>
      <c r="P49" s="5"/>
      <c r="Q49" s="5" t="s">
        <v>55</v>
      </c>
      <c r="R49" s="9" t="s">
        <v>120</v>
      </c>
      <c r="S49" s="8" t="s">
        <v>349</v>
      </c>
      <c r="T49" s="8" t="s">
        <v>58</v>
      </c>
      <c r="U49" s="8" t="s">
        <v>349</v>
      </c>
      <c r="V49" s="5" t="s">
        <v>60</v>
      </c>
      <c r="W49" s="5"/>
    </row>
    <row r="50" spans="1:23" ht="45" x14ac:dyDescent="0.25">
      <c r="A50" s="5">
        <v>49</v>
      </c>
      <c r="B50" s="5" t="s">
        <v>16</v>
      </c>
      <c r="C50" s="5" t="s">
        <v>350</v>
      </c>
      <c r="D50" s="5" t="s">
        <v>351</v>
      </c>
      <c r="E50" s="5" t="s">
        <v>352</v>
      </c>
      <c r="F50" s="5" t="s">
        <v>72</v>
      </c>
      <c r="G50" s="5"/>
      <c r="H50" s="6"/>
      <c r="I50" s="6"/>
      <c r="J50" s="5" t="s">
        <v>51</v>
      </c>
      <c r="K50" s="5" t="s">
        <v>353</v>
      </c>
      <c r="L50" s="5"/>
      <c r="M50" s="5"/>
      <c r="N50" s="5" t="s">
        <v>354</v>
      </c>
      <c r="O50" s="5"/>
      <c r="P50" s="5"/>
      <c r="Q50" s="5" t="s">
        <v>55</v>
      </c>
      <c r="R50" s="9" t="s">
        <v>120</v>
      </c>
      <c r="S50" s="8" t="s">
        <v>355</v>
      </c>
      <c r="T50" s="8" t="s">
        <v>58</v>
      </c>
      <c r="U50" s="8" t="s">
        <v>355</v>
      </c>
      <c r="V50" s="5" t="s">
        <v>60</v>
      </c>
      <c r="W50" s="5"/>
    </row>
    <row r="51" spans="1:23" ht="30" x14ac:dyDescent="0.25">
      <c r="A51" s="5">
        <v>50</v>
      </c>
      <c r="B51" s="5" t="s">
        <v>16</v>
      </c>
      <c r="C51" s="5" t="s">
        <v>356</v>
      </c>
      <c r="D51" s="5" t="s">
        <v>357</v>
      </c>
      <c r="E51" s="5" t="s">
        <v>358</v>
      </c>
      <c r="F51" s="5" t="s">
        <v>104</v>
      </c>
      <c r="G51" s="5" t="s">
        <v>359</v>
      </c>
      <c r="H51" s="6">
        <v>13.877981</v>
      </c>
      <c r="I51" s="6">
        <v>109.1208043</v>
      </c>
      <c r="J51" s="5" t="s">
        <v>246</v>
      </c>
      <c r="K51" s="5" t="s">
        <v>360</v>
      </c>
      <c r="L51" s="5"/>
      <c r="M51" s="5" t="s">
        <v>361</v>
      </c>
      <c r="N51" s="5"/>
      <c r="O51" s="5"/>
      <c r="P51" s="5" t="s">
        <v>362</v>
      </c>
      <c r="Q51" s="5" t="s">
        <v>109</v>
      </c>
      <c r="R51" s="7" t="s">
        <v>56</v>
      </c>
      <c r="S51" s="8" t="s">
        <v>363</v>
      </c>
      <c r="T51" s="8" t="s">
        <v>58</v>
      </c>
      <c r="U51" s="8" t="s">
        <v>363</v>
      </c>
      <c r="V51" s="5" t="s">
        <v>60</v>
      </c>
      <c r="W51" s="5"/>
    </row>
    <row r="52" spans="1:23" ht="30" x14ac:dyDescent="0.25">
      <c r="A52" s="5">
        <v>51</v>
      </c>
      <c r="B52" s="5" t="s">
        <v>16</v>
      </c>
      <c r="C52" s="5" t="s">
        <v>356</v>
      </c>
      <c r="D52" s="5" t="s">
        <v>364</v>
      </c>
      <c r="E52" s="5" t="s">
        <v>365</v>
      </c>
      <c r="F52" s="5" t="s">
        <v>104</v>
      </c>
      <c r="G52" s="5"/>
      <c r="H52" s="6"/>
      <c r="I52" s="6"/>
      <c r="J52" s="5" t="s">
        <v>105</v>
      </c>
      <c r="K52" s="5" t="s">
        <v>366</v>
      </c>
      <c r="L52" s="5"/>
      <c r="M52" s="5"/>
      <c r="N52" s="5"/>
      <c r="O52" s="5"/>
      <c r="P52" s="5"/>
      <c r="Q52" s="5" t="s">
        <v>109</v>
      </c>
      <c r="R52" s="9" t="s">
        <v>120</v>
      </c>
      <c r="S52" s="8" t="s">
        <v>367</v>
      </c>
      <c r="T52" s="8" t="s">
        <v>58</v>
      </c>
      <c r="U52" s="8" t="s">
        <v>367</v>
      </c>
      <c r="V52" s="5" t="s">
        <v>60</v>
      </c>
      <c r="W52" s="5"/>
    </row>
    <row r="53" spans="1:23" ht="45" x14ac:dyDescent="0.25">
      <c r="A53" s="5">
        <v>52</v>
      </c>
      <c r="B53" s="5" t="s">
        <v>16</v>
      </c>
      <c r="C53" s="5" t="s">
        <v>368</v>
      </c>
      <c r="D53" s="5" t="s">
        <v>369</v>
      </c>
      <c r="E53" s="5" t="s">
        <v>370</v>
      </c>
      <c r="F53" s="5" t="s">
        <v>72</v>
      </c>
      <c r="G53" s="5"/>
      <c r="H53" s="6"/>
      <c r="I53" s="6"/>
      <c r="J53" s="5" t="s">
        <v>51</v>
      </c>
      <c r="K53" s="5" t="s">
        <v>371</v>
      </c>
      <c r="L53" s="5"/>
      <c r="M53" s="5"/>
      <c r="N53" s="5" t="s">
        <v>372</v>
      </c>
      <c r="O53" s="5"/>
      <c r="P53" s="5"/>
      <c r="Q53" s="5" t="s">
        <v>55</v>
      </c>
      <c r="R53" s="9" t="s">
        <v>120</v>
      </c>
      <c r="S53" s="8" t="s">
        <v>373</v>
      </c>
      <c r="T53" s="8" t="s">
        <v>58</v>
      </c>
      <c r="U53" s="8" t="s">
        <v>373</v>
      </c>
      <c r="V53" s="5" t="s">
        <v>60</v>
      </c>
      <c r="W53" s="5"/>
    </row>
    <row r="54" spans="1:23" ht="45" x14ac:dyDescent="0.25">
      <c r="A54" s="5">
        <v>53</v>
      </c>
      <c r="B54" s="5" t="s">
        <v>16</v>
      </c>
      <c r="C54" s="5" t="s">
        <v>374</v>
      </c>
      <c r="D54" s="5" t="s">
        <v>375</v>
      </c>
      <c r="E54" s="5" t="s">
        <v>376</v>
      </c>
      <c r="F54" s="5" t="s">
        <v>72</v>
      </c>
      <c r="G54" s="5"/>
      <c r="H54" s="6"/>
      <c r="I54" s="6"/>
      <c r="J54" s="5" t="s">
        <v>51</v>
      </c>
      <c r="K54" s="5"/>
      <c r="L54" s="5"/>
      <c r="M54" s="5"/>
      <c r="N54" s="5" t="s">
        <v>377</v>
      </c>
      <c r="O54" s="5"/>
      <c r="P54" s="5"/>
      <c r="Q54" s="5" t="s">
        <v>55</v>
      </c>
      <c r="R54" s="9" t="s">
        <v>120</v>
      </c>
      <c r="S54" s="8" t="s">
        <v>378</v>
      </c>
      <c r="T54" s="8" t="s">
        <v>58</v>
      </c>
      <c r="U54" s="8" t="s">
        <v>378</v>
      </c>
      <c r="V54" s="5" t="s">
        <v>60</v>
      </c>
      <c r="W54" s="5"/>
    </row>
    <row r="55" spans="1:23" ht="45" x14ac:dyDescent="0.25">
      <c r="A55" s="5">
        <v>54</v>
      </c>
      <c r="B55" s="5" t="s">
        <v>16</v>
      </c>
      <c r="C55" s="5" t="s">
        <v>374</v>
      </c>
      <c r="D55" s="5" t="s">
        <v>379</v>
      </c>
      <c r="E55" s="5" t="s">
        <v>380</v>
      </c>
      <c r="F55" s="5" t="s">
        <v>72</v>
      </c>
      <c r="G55" s="5"/>
      <c r="H55" s="6"/>
      <c r="I55" s="6"/>
      <c r="J55" s="5" t="s">
        <v>51</v>
      </c>
      <c r="K55" s="5" t="s">
        <v>381</v>
      </c>
      <c r="L55" s="5"/>
      <c r="M55" s="5"/>
      <c r="N55" s="5" t="s">
        <v>377</v>
      </c>
      <c r="O55" s="5"/>
      <c r="P55" s="5"/>
      <c r="Q55" s="5" t="s">
        <v>55</v>
      </c>
      <c r="R55" s="9" t="s">
        <v>120</v>
      </c>
      <c r="S55" s="8" t="s">
        <v>382</v>
      </c>
      <c r="T55" s="8" t="s">
        <v>58</v>
      </c>
      <c r="U55" s="8" t="s">
        <v>382</v>
      </c>
      <c r="V55" s="5" t="s">
        <v>60</v>
      </c>
      <c r="W55" s="5"/>
    </row>
    <row r="56" spans="1:23" ht="45" x14ac:dyDescent="0.25">
      <c r="A56" s="5">
        <v>55</v>
      </c>
      <c r="B56" s="5" t="s">
        <v>16</v>
      </c>
      <c r="C56" s="5" t="s">
        <v>383</v>
      </c>
      <c r="D56" s="5" t="s">
        <v>384</v>
      </c>
      <c r="E56" s="5" t="s">
        <v>385</v>
      </c>
      <c r="F56" s="5" t="s">
        <v>72</v>
      </c>
      <c r="G56" s="5"/>
      <c r="H56" s="6"/>
      <c r="I56" s="6"/>
      <c r="J56" s="5" t="s">
        <v>51</v>
      </c>
      <c r="K56" s="5" t="s">
        <v>386</v>
      </c>
      <c r="L56" s="5"/>
      <c r="M56" s="5"/>
      <c r="N56" s="5" t="s">
        <v>387</v>
      </c>
      <c r="O56" s="5"/>
      <c r="P56" s="5"/>
      <c r="Q56" s="5" t="s">
        <v>55</v>
      </c>
      <c r="R56" s="9" t="s">
        <v>120</v>
      </c>
      <c r="S56" s="8" t="s">
        <v>388</v>
      </c>
      <c r="T56" s="8" t="s">
        <v>58</v>
      </c>
      <c r="U56" s="8" t="s">
        <v>388</v>
      </c>
      <c r="V56" s="5" t="s">
        <v>60</v>
      </c>
      <c r="W56" s="5"/>
    </row>
    <row r="57" spans="1:23" ht="45" x14ac:dyDescent="0.25">
      <c r="A57" s="5">
        <v>56</v>
      </c>
      <c r="B57" s="5" t="s">
        <v>16</v>
      </c>
      <c r="C57" s="5" t="s">
        <v>389</v>
      </c>
      <c r="D57" s="5" t="s">
        <v>390</v>
      </c>
      <c r="E57" s="5" t="s">
        <v>391</v>
      </c>
      <c r="F57" s="5" t="s">
        <v>72</v>
      </c>
      <c r="G57" s="5"/>
      <c r="H57" s="6"/>
      <c r="I57" s="6"/>
      <c r="J57" s="5" t="s">
        <v>51</v>
      </c>
      <c r="K57" s="5"/>
      <c r="L57" s="5"/>
      <c r="M57" s="5"/>
      <c r="N57" s="5" t="s">
        <v>392</v>
      </c>
      <c r="O57" s="5"/>
      <c r="P57" s="5"/>
      <c r="Q57" s="5" t="s">
        <v>55</v>
      </c>
      <c r="R57" s="9" t="s">
        <v>120</v>
      </c>
      <c r="S57" s="8" t="s">
        <v>393</v>
      </c>
      <c r="T57" s="8" t="s">
        <v>58</v>
      </c>
      <c r="U57" s="8" t="s">
        <v>393</v>
      </c>
      <c r="V57" s="5" t="s">
        <v>60</v>
      </c>
      <c r="W57" s="5"/>
    </row>
    <row r="58" spans="1:23" ht="30" x14ac:dyDescent="0.25">
      <c r="A58" s="5">
        <v>57</v>
      </c>
      <c r="B58" s="5" t="s">
        <v>16</v>
      </c>
      <c r="C58" s="5" t="s">
        <v>394</v>
      </c>
      <c r="D58" s="5" t="s">
        <v>395</v>
      </c>
      <c r="E58" s="5" t="s">
        <v>396</v>
      </c>
      <c r="F58" s="5" t="s">
        <v>104</v>
      </c>
      <c r="G58" s="5"/>
      <c r="H58" s="6">
        <v>13.8898662</v>
      </c>
      <c r="I58" s="6">
        <v>109.1028816</v>
      </c>
      <c r="J58" s="5" t="s">
        <v>246</v>
      </c>
      <c r="K58" s="5" t="s">
        <v>397</v>
      </c>
      <c r="L58" s="5"/>
      <c r="M58" s="5" t="s">
        <v>398</v>
      </c>
      <c r="N58" s="5"/>
      <c r="O58" s="5"/>
      <c r="P58" s="5"/>
      <c r="Q58" s="5" t="s">
        <v>109</v>
      </c>
      <c r="R58" s="7" t="s">
        <v>56</v>
      </c>
      <c r="S58" s="8" t="s">
        <v>399</v>
      </c>
      <c r="T58" s="8" t="s">
        <v>58</v>
      </c>
      <c r="U58" s="8" t="s">
        <v>399</v>
      </c>
      <c r="V58" s="5" t="s">
        <v>60</v>
      </c>
      <c r="W58" s="5"/>
    </row>
    <row r="59" spans="1:23" ht="30" x14ac:dyDescent="0.25">
      <c r="A59" s="5">
        <v>58</v>
      </c>
      <c r="B59" s="5" t="s">
        <v>16</v>
      </c>
      <c r="C59" s="5" t="s">
        <v>383</v>
      </c>
      <c r="D59" s="5" t="s">
        <v>400</v>
      </c>
      <c r="E59" s="5" t="s">
        <v>401</v>
      </c>
      <c r="F59" s="5" t="s">
        <v>104</v>
      </c>
      <c r="G59" s="5"/>
      <c r="H59" s="6">
        <v>13.8858306</v>
      </c>
      <c r="I59" s="6">
        <v>109.1159747</v>
      </c>
      <c r="J59" s="5" t="s">
        <v>246</v>
      </c>
      <c r="K59" s="5" t="s">
        <v>402</v>
      </c>
      <c r="L59" s="5"/>
      <c r="M59" s="5"/>
      <c r="N59" s="5"/>
      <c r="O59" s="5"/>
      <c r="P59" s="5"/>
      <c r="Q59" s="5" t="s">
        <v>109</v>
      </c>
      <c r="R59" s="9" t="s">
        <v>120</v>
      </c>
      <c r="S59" s="8" t="s">
        <v>403</v>
      </c>
      <c r="T59" s="8" t="s">
        <v>58</v>
      </c>
      <c r="U59" s="8" t="s">
        <v>403</v>
      </c>
      <c r="V59" s="5" t="s">
        <v>60</v>
      </c>
      <c r="W59" s="5"/>
    </row>
    <row r="60" spans="1:23" ht="30" x14ac:dyDescent="0.25">
      <c r="A60" s="5">
        <v>59</v>
      </c>
      <c r="B60" s="5" t="s">
        <v>16</v>
      </c>
      <c r="C60" s="5" t="s">
        <v>404</v>
      </c>
      <c r="D60" s="5" t="s">
        <v>405</v>
      </c>
      <c r="E60" s="5" t="s">
        <v>406</v>
      </c>
      <c r="F60" s="5" t="s">
        <v>104</v>
      </c>
      <c r="G60" s="5"/>
      <c r="H60" s="6"/>
      <c r="I60" s="6"/>
      <c r="J60" s="5" t="s">
        <v>105</v>
      </c>
      <c r="K60" s="5" t="s">
        <v>407</v>
      </c>
      <c r="L60" s="5"/>
      <c r="M60" s="5" t="s">
        <v>408</v>
      </c>
      <c r="N60" s="5"/>
      <c r="O60" s="5"/>
      <c r="P60" s="5"/>
      <c r="Q60" s="5" t="s">
        <v>109</v>
      </c>
      <c r="R60" s="9" t="s">
        <v>120</v>
      </c>
      <c r="S60" s="8" t="s">
        <v>409</v>
      </c>
      <c r="T60" s="8" t="s">
        <v>58</v>
      </c>
      <c r="U60" s="8" t="s">
        <v>409</v>
      </c>
      <c r="V60" s="5" t="s">
        <v>60</v>
      </c>
      <c r="W60" s="5"/>
    </row>
    <row r="61" spans="1:23" ht="45" x14ac:dyDescent="0.25">
      <c r="A61" s="5">
        <v>60</v>
      </c>
      <c r="B61" s="5" t="s">
        <v>16</v>
      </c>
      <c r="C61" s="5" t="s">
        <v>383</v>
      </c>
      <c r="D61" s="5" t="s">
        <v>410</v>
      </c>
      <c r="E61" s="5" t="s">
        <v>411</v>
      </c>
      <c r="F61" s="5" t="s">
        <v>72</v>
      </c>
      <c r="G61" s="5"/>
      <c r="H61" s="6"/>
      <c r="I61" s="6"/>
      <c r="J61" s="5" t="s">
        <v>51</v>
      </c>
      <c r="K61" s="5" t="s">
        <v>412</v>
      </c>
      <c r="L61" s="5"/>
      <c r="M61" s="5"/>
      <c r="N61" s="5" t="s">
        <v>413</v>
      </c>
      <c r="O61" s="5"/>
      <c r="P61" s="5"/>
      <c r="Q61" s="5" t="s">
        <v>55</v>
      </c>
      <c r="R61" s="9" t="s">
        <v>120</v>
      </c>
      <c r="S61" s="8" t="s">
        <v>414</v>
      </c>
      <c r="T61" s="8" t="s">
        <v>58</v>
      </c>
      <c r="U61" s="8" t="s">
        <v>414</v>
      </c>
      <c r="V61" s="5" t="s">
        <v>60</v>
      </c>
      <c r="W61" s="5"/>
    </row>
    <row r="62" spans="1:23" ht="30" x14ac:dyDescent="0.25">
      <c r="A62" s="5">
        <v>61</v>
      </c>
      <c r="B62" s="5" t="s">
        <v>16</v>
      </c>
      <c r="C62" s="5" t="s">
        <v>415</v>
      </c>
      <c r="D62" s="5" t="s">
        <v>416</v>
      </c>
      <c r="E62" s="5" t="s">
        <v>417</v>
      </c>
      <c r="F62" s="5" t="s">
        <v>92</v>
      </c>
      <c r="G62" s="5" t="s">
        <v>418</v>
      </c>
      <c r="H62" s="6">
        <v>13.888887499999999</v>
      </c>
      <c r="I62" s="6">
        <v>109.06214060000001</v>
      </c>
      <c r="J62" s="5" t="s">
        <v>419</v>
      </c>
      <c r="K62" s="5" t="s">
        <v>420</v>
      </c>
      <c r="L62" s="5"/>
      <c r="M62" s="5" t="s">
        <v>421</v>
      </c>
      <c r="N62" s="5"/>
      <c r="O62" s="5"/>
      <c r="P62" s="5"/>
      <c r="Q62" s="5" t="s">
        <v>422</v>
      </c>
      <c r="R62" s="9" t="s">
        <v>120</v>
      </c>
      <c r="S62" s="8" t="s">
        <v>423</v>
      </c>
      <c r="T62" s="8" t="s">
        <v>58</v>
      </c>
      <c r="U62" s="8" t="s">
        <v>423</v>
      </c>
      <c r="V62" s="5" t="s">
        <v>60</v>
      </c>
      <c r="W62" s="5"/>
    </row>
    <row r="63" spans="1:23" ht="45" x14ac:dyDescent="0.25">
      <c r="A63" s="5">
        <v>62</v>
      </c>
      <c r="B63" s="5" t="s">
        <v>16</v>
      </c>
      <c r="C63" s="5" t="s">
        <v>334</v>
      </c>
      <c r="D63" s="5" t="s">
        <v>424</v>
      </c>
      <c r="E63" s="5" t="s">
        <v>425</v>
      </c>
      <c r="F63" s="5" t="s">
        <v>72</v>
      </c>
      <c r="G63" s="5"/>
      <c r="H63" s="6"/>
      <c r="I63" s="6"/>
      <c r="J63" s="5" t="s">
        <v>51</v>
      </c>
      <c r="K63" s="5"/>
      <c r="L63" s="5"/>
      <c r="M63" s="5"/>
      <c r="N63" s="5" t="s">
        <v>426</v>
      </c>
      <c r="O63" s="5"/>
      <c r="P63" s="5"/>
      <c r="Q63" s="5" t="s">
        <v>55</v>
      </c>
      <c r="R63" s="9" t="s">
        <v>120</v>
      </c>
      <c r="S63" s="8" t="s">
        <v>427</v>
      </c>
      <c r="T63" s="8" t="s">
        <v>58</v>
      </c>
      <c r="U63" s="8" t="s">
        <v>427</v>
      </c>
      <c r="V63" s="5" t="s">
        <v>60</v>
      </c>
      <c r="W63" s="5"/>
    </row>
    <row r="64" spans="1:23" ht="45" x14ac:dyDescent="0.25">
      <c r="A64" s="5">
        <v>63</v>
      </c>
      <c r="B64" s="5" t="s">
        <v>16</v>
      </c>
      <c r="C64" s="5" t="s">
        <v>428</v>
      </c>
      <c r="D64" s="5" t="s">
        <v>429</v>
      </c>
      <c r="E64" s="5" t="s">
        <v>430</v>
      </c>
      <c r="F64" s="5" t="s">
        <v>72</v>
      </c>
      <c r="G64" s="5"/>
      <c r="H64" s="6"/>
      <c r="I64" s="6"/>
      <c r="J64" s="5" t="s">
        <v>51</v>
      </c>
      <c r="K64" s="5"/>
      <c r="L64" s="5"/>
      <c r="M64" s="5"/>
      <c r="N64" s="5" t="s">
        <v>431</v>
      </c>
      <c r="O64" s="5"/>
      <c r="P64" s="5"/>
      <c r="Q64" s="5" t="s">
        <v>55</v>
      </c>
      <c r="R64" s="9" t="s">
        <v>120</v>
      </c>
      <c r="S64" s="8" t="s">
        <v>432</v>
      </c>
      <c r="T64" s="8" t="s">
        <v>58</v>
      </c>
      <c r="U64" s="8" t="s">
        <v>432</v>
      </c>
      <c r="V64" s="5" t="s">
        <v>60</v>
      </c>
      <c r="W64" s="5"/>
    </row>
    <row r="65" spans="1:23" ht="45" x14ac:dyDescent="0.25">
      <c r="A65" s="5">
        <v>64</v>
      </c>
      <c r="B65" s="5" t="s">
        <v>16</v>
      </c>
      <c r="C65" s="5" t="s">
        <v>328</v>
      </c>
      <c r="D65" s="5" t="s">
        <v>433</v>
      </c>
      <c r="E65" s="5" t="s">
        <v>434</v>
      </c>
      <c r="F65" s="5" t="s">
        <v>72</v>
      </c>
      <c r="G65" s="5"/>
      <c r="H65" s="6"/>
      <c r="I65" s="6"/>
      <c r="J65" s="5" t="s">
        <v>51</v>
      </c>
      <c r="K65" s="5" t="s">
        <v>435</v>
      </c>
      <c r="L65" s="5"/>
      <c r="M65" s="5"/>
      <c r="N65" s="5" t="s">
        <v>332</v>
      </c>
      <c r="O65" s="5"/>
      <c r="P65" s="5"/>
      <c r="Q65" s="5" t="s">
        <v>55</v>
      </c>
      <c r="R65" s="9" t="s">
        <v>120</v>
      </c>
      <c r="S65" s="8" t="s">
        <v>436</v>
      </c>
      <c r="T65" s="8" t="s">
        <v>58</v>
      </c>
      <c r="U65" s="8" t="s">
        <v>436</v>
      </c>
      <c r="V65" s="5" t="s">
        <v>60</v>
      </c>
      <c r="W65" s="5"/>
    </row>
    <row r="66" spans="1:23" ht="45" x14ac:dyDescent="0.25">
      <c r="A66" s="5">
        <v>65</v>
      </c>
      <c r="B66" s="5" t="s">
        <v>16</v>
      </c>
      <c r="C66" s="5" t="s">
        <v>328</v>
      </c>
      <c r="D66" s="5" t="s">
        <v>437</v>
      </c>
      <c r="E66" s="5" t="s">
        <v>438</v>
      </c>
      <c r="F66" s="5" t="s">
        <v>72</v>
      </c>
      <c r="G66" s="5" t="s">
        <v>439</v>
      </c>
      <c r="H66" s="6">
        <v>13.8844625</v>
      </c>
      <c r="I66" s="6">
        <v>109.1061406</v>
      </c>
      <c r="J66" s="5" t="s">
        <v>440</v>
      </c>
      <c r="K66" s="5"/>
      <c r="L66" s="5"/>
      <c r="M66" s="5"/>
      <c r="N66" s="5" t="s">
        <v>332</v>
      </c>
      <c r="O66" s="5"/>
      <c r="P66" s="5"/>
      <c r="Q66" s="5" t="s">
        <v>55</v>
      </c>
      <c r="R66" s="9" t="s">
        <v>120</v>
      </c>
      <c r="S66" s="8" t="s">
        <v>441</v>
      </c>
      <c r="T66" s="8" t="s">
        <v>58</v>
      </c>
      <c r="U66" s="8" t="s">
        <v>441</v>
      </c>
      <c r="V66" s="5" t="s">
        <v>60</v>
      </c>
      <c r="W66" s="5"/>
    </row>
    <row r="67" spans="1:23" ht="45" x14ac:dyDescent="0.25">
      <c r="A67" s="5">
        <v>66</v>
      </c>
      <c r="B67" s="5" t="s">
        <v>16</v>
      </c>
      <c r="C67" s="5" t="s">
        <v>328</v>
      </c>
      <c r="D67" s="5" t="s">
        <v>442</v>
      </c>
      <c r="E67" s="5" t="s">
        <v>443</v>
      </c>
      <c r="F67" s="5" t="s">
        <v>72</v>
      </c>
      <c r="G67" s="5"/>
      <c r="H67" s="6"/>
      <c r="I67" s="6"/>
      <c r="J67" s="5" t="s">
        <v>51</v>
      </c>
      <c r="K67" s="5"/>
      <c r="L67" s="5"/>
      <c r="M67" s="5"/>
      <c r="N67" s="5" t="s">
        <v>332</v>
      </c>
      <c r="O67" s="5"/>
      <c r="P67" s="5"/>
      <c r="Q67" s="5" t="s">
        <v>55</v>
      </c>
      <c r="R67" s="9" t="s">
        <v>120</v>
      </c>
      <c r="S67" s="8" t="s">
        <v>444</v>
      </c>
      <c r="T67" s="8" t="s">
        <v>58</v>
      </c>
      <c r="U67" s="8" t="s">
        <v>444</v>
      </c>
      <c r="V67" s="5" t="s">
        <v>60</v>
      </c>
      <c r="W67" s="5"/>
    </row>
    <row r="68" spans="1:23" ht="45" x14ac:dyDescent="0.25">
      <c r="A68" s="5">
        <v>67</v>
      </c>
      <c r="B68" s="5" t="s">
        <v>17</v>
      </c>
      <c r="C68" s="5" t="s">
        <v>445</v>
      </c>
      <c r="D68" s="5" t="s">
        <v>446</v>
      </c>
      <c r="E68" s="5" t="s">
        <v>447</v>
      </c>
      <c r="F68" s="5" t="s">
        <v>72</v>
      </c>
      <c r="G68" s="5" t="s">
        <v>448</v>
      </c>
      <c r="H68" s="6">
        <v>13.8887375</v>
      </c>
      <c r="I68" s="6">
        <v>109.1012344</v>
      </c>
      <c r="J68" s="5" t="s">
        <v>449</v>
      </c>
      <c r="K68" s="5" t="s">
        <v>450</v>
      </c>
      <c r="L68" s="5"/>
      <c r="M68" s="5"/>
      <c r="N68" s="5" t="s">
        <v>451</v>
      </c>
      <c r="O68" s="5"/>
      <c r="P68" s="5"/>
      <c r="Q68" s="5" t="s">
        <v>55</v>
      </c>
      <c r="R68" s="9" t="s">
        <v>120</v>
      </c>
      <c r="S68" s="8" t="s">
        <v>452</v>
      </c>
      <c r="T68" s="8" t="s">
        <v>58</v>
      </c>
      <c r="U68" s="8" t="s">
        <v>452</v>
      </c>
      <c r="V68" s="5" t="s">
        <v>60</v>
      </c>
      <c r="W68" s="5"/>
    </row>
    <row r="69" spans="1:23" ht="30" x14ac:dyDescent="0.25">
      <c r="A69" s="5">
        <v>68</v>
      </c>
      <c r="B69" s="5" t="s">
        <v>17</v>
      </c>
      <c r="C69" s="5" t="s">
        <v>453</v>
      </c>
      <c r="D69" s="5" t="s">
        <v>454</v>
      </c>
      <c r="E69" s="5" t="s">
        <v>455</v>
      </c>
      <c r="F69" s="5" t="s">
        <v>104</v>
      </c>
      <c r="G69" s="5" t="s">
        <v>456</v>
      </c>
      <c r="H69" s="6">
        <v>13.881437500000001</v>
      </c>
      <c r="I69" s="6">
        <v>109.10860940000001</v>
      </c>
      <c r="J69" s="5" t="s">
        <v>457</v>
      </c>
      <c r="K69" s="5"/>
      <c r="L69" s="5"/>
      <c r="M69" s="5" t="s">
        <v>458</v>
      </c>
      <c r="N69" s="5"/>
      <c r="O69" s="5"/>
      <c r="P69" s="5"/>
      <c r="Q69" s="5" t="s">
        <v>109</v>
      </c>
      <c r="R69" s="9" t="s">
        <v>120</v>
      </c>
      <c r="S69" s="8" t="s">
        <v>459</v>
      </c>
      <c r="T69" s="8" t="s">
        <v>58</v>
      </c>
      <c r="U69" s="8" t="s">
        <v>459</v>
      </c>
      <c r="V69" s="5" t="s">
        <v>60</v>
      </c>
      <c r="W69" s="5"/>
    </row>
    <row r="70" spans="1:23" ht="45" x14ac:dyDescent="0.25">
      <c r="A70" s="5">
        <v>69</v>
      </c>
      <c r="B70" s="5" t="s">
        <v>17</v>
      </c>
      <c r="C70" s="5" t="s">
        <v>460</v>
      </c>
      <c r="D70" s="5" t="s">
        <v>461</v>
      </c>
      <c r="E70" s="5" t="s">
        <v>462</v>
      </c>
      <c r="F70" s="5" t="s">
        <v>72</v>
      </c>
      <c r="G70" s="5" t="s">
        <v>463</v>
      </c>
      <c r="H70" s="6">
        <v>13.8903125</v>
      </c>
      <c r="I70" s="6">
        <v>109.1058594</v>
      </c>
      <c r="J70" s="5" t="s">
        <v>464</v>
      </c>
      <c r="K70" s="5"/>
      <c r="L70" s="5"/>
      <c r="M70" s="5"/>
      <c r="N70" s="5" t="s">
        <v>465</v>
      </c>
      <c r="O70" s="5"/>
      <c r="P70" s="5"/>
      <c r="Q70" s="5" t="s">
        <v>55</v>
      </c>
      <c r="R70" s="9" t="s">
        <v>120</v>
      </c>
      <c r="S70" s="8" t="s">
        <v>466</v>
      </c>
      <c r="T70" s="8" t="s">
        <v>58</v>
      </c>
      <c r="U70" s="8" t="s">
        <v>466</v>
      </c>
      <c r="V70" s="5" t="s">
        <v>60</v>
      </c>
      <c r="W70" s="5"/>
    </row>
    <row r="71" spans="1:23" ht="30" x14ac:dyDescent="0.25">
      <c r="A71" s="5">
        <v>70</v>
      </c>
      <c r="B71" s="5" t="s">
        <v>17</v>
      </c>
      <c r="C71" s="5" t="s">
        <v>460</v>
      </c>
      <c r="D71" s="5" t="s">
        <v>467</v>
      </c>
      <c r="E71" s="5" t="s">
        <v>468</v>
      </c>
      <c r="F71" s="5" t="s">
        <v>104</v>
      </c>
      <c r="G71" s="5"/>
      <c r="H71" s="6">
        <v>13.8861671</v>
      </c>
      <c r="I71" s="6">
        <v>109.1089609</v>
      </c>
      <c r="J71" s="5" t="s">
        <v>246</v>
      </c>
      <c r="K71" s="5"/>
      <c r="L71" s="5"/>
      <c r="M71" s="5"/>
      <c r="N71" s="5"/>
      <c r="O71" s="5"/>
      <c r="P71" s="5"/>
      <c r="Q71" s="5" t="s">
        <v>109</v>
      </c>
      <c r="R71" s="7" t="s">
        <v>56</v>
      </c>
      <c r="S71" s="8" t="s">
        <v>469</v>
      </c>
      <c r="T71" s="8" t="s">
        <v>58</v>
      </c>
      <c r="U71" s="8" t="s">
        <v>469</v>
      </c>
      <c r="V71" s="5" t="s">
        <v>60</v>
      </c>
      <c r="W71" s="5"/>
    </row>
    <row r="72" spans="1:23" ht="30" x14ac:dyDescent="0.25">
      <c r="A72" s="5">
        <v>71</v>
      </c>
      <c r="B72" s="5" t="s">
        <v>17</v>
      </c>
      <c r="C72" s="5" t="s">
        <v>470</v>
      </c>
      <c r="D72" s="5" t="s">
        <v>471</v>
      </c>
      <c r="E72" s="5" t="s">
        <v>472</v>
      </c>
      <c r="F72" s="5" t="s">
        <v>104</v>
      </c>
      <c r="G72" s="5" t="s">
        <v>473</v>
      </c>
      <c r="H72" s="6">
        <v>13.892462500000001</v>
      </c>
      <c r="I72" s="6">
        <v>109.1015469</v>
      </c>
      <c r="J72" s="5" t="s">
        <v>474</v>
      </c>
      <c r="K72" s="5" t="s">
        <v>475</v>
      </c>
      <c r="L72" s="5"/>
      <c r="M72" s="5"/>
      <c r="N72" s="5"/>
      <c r="O72" s="5"/>
      <c r="P72" s="5"/>
      <c r="Q72" s="5" t="s">
        <v>109</v>
      </c>
      <c r="R72" s="9" t="s">
        <v>120</v>
      </c>
      <c r="S72" s="8" t="s">
        <v>476</v>
      </c>
      <c r="T72" s="8" t="s">
        <v>58</v>
      </c>
      <c r="U72" s="8" t="s">
        <v>476</v>
      </c>
      <c r="V72" s="5" t="s">
        <v>60</v>
      </c>
      <c r="W72" s="5"/>
    </row>
    <row r="73" spans="1:23" ht="45" x14ac:dyDescent="0.25">
      <c r="A73" s="5">
        <v>72</v>
      </c>
      <c r="B73" s="5" t="s">
        <v>17</v>
      </c>
      <c r="C73" s="5" t="s">
        <v>477</v>
      </c>
      <c r="D73" s="5" t="s">
        <v>478</v>
      </c>
      <c r="E73" s="5" t="s">
        <v>479</v>
      </c>
      <c r="F73" s="5" t="s">
        <v>72</v>
      </c>
      <c r="G73" s="5"/>
      <c r="H73" s="6"/>
      <c r="I73" s="6"/>
      <c r="J73" s="5" t="s">
        <v>51</v>
      </c>
      <c r="K73" s="5" t="s">
        <v>480</v>
      </c>
      <c r="L73" s="5"/>
      <c r="M73" s="5"/>
      <c r="N73" s="5" t="s">
        <v>481</v>
      </c>
      <c r="O73" s="5"/>
      <c r="P73" s="5"/>
      <c r="Q73" s="5" t="s">
        <v>55</v>
      </c>
      <c r="R73" s="9" t="s">
        <v>120</v>
      </c>
      <c r="S73" s="8" t="s">
        <v>482</v>
      </c>
      <c r="T73" s="8" t="s">
        <v>58</v>
      </c>
      <c r="U73" s="8" t="s">
        <v>482</v>
      </c>
      <c r="V73" s="5" t="s">
        <v>60</v>
      </c>
      <c r="W73" s="5"/>
    </row>
    <row r="74" spans="1:23" ht="45" x14ac:dyDescent="0.25">
      <c r="A74" s="5">
        <v>73</v>
      </c>
      <c r="B74" s="5" t="s">
        <v>17</v>
      </c>
      <c r="C74" s="5" t="s">
        <v>477</v>
      </c>
      <c r="D74" s="5" t="s">
        <v>483</v>
      </c>
      <c r="E74" s="5" t="s">
        <v>484</v>
      </c>
      <c r="F74" s="5" t="s">
        <v>72</v>
      </c>
      <c r="G74" s="5"/>
      <c r="H74" s="6"/>
      <c r="I74" s="6"/>
      <c r="J74" s="5" t="s">
        <v>51</v>
      </c>
      <c r="K74" s="5" t="s">
        <v>485</v>
      </c>
      <c r="L74" s="5"/>
      <c r="M74" s="5"/>
      <c r="N74" s="5" t="s">
        <v>481</v>
      </c>
      <c r="O74" s="5"/>
      <c r="P74" s="5"/>
      <c r="Q74" s="5" t="s">
        <v>55</v>
      </c>
      <c r="R74" s="9" t="s">
        <v>120</v>
      </c>
      <c r="S74" s="8" t="s">
        <v>486</v>
      </c>
      <c r="T74" s="8" t="s">
        <v>58</v>
      </c>
      <c r="U74" s="8" t="s">
        <v>486</v>
      </c>
      <c r="V74" s="5" t="s">
        <v>60</v>
      </c>
      <c r="W74" s="5"/>
    </row>
    <row r="75" spans="1:23" ht="45" x14ac:dyDescent="0.25">
      <c r="A75" s="5">
        <v>74</v>
      </c>
      <c r="B75" s="5" t="s">
        <v>17</v>
      </c>
      <c r="C75" s="5" t="s">
        <v>477</v>
      </c>
      <c r="D75" s="5" t="s">
        <v>487</v>
      </c>
      <c r="E75" s="5" t="s">
        <v>488</v>
      </c>
      <c r="F75" s="5" t="s">
        <v>64</v>
      </c>
      <c r="G75" s="5" t="s">
        <v>489</v>
      </c>
      <c r="H75" s="6">
        <v>13.903062500000001</v>
      </c>
      <c r="I75" s="6">
        <v>109.0314375</v>
      </c>
      <c r="J75" s="5" t="s">
        <v>490</v>
      </c>
      <c r="K75" s="5"/>
      <c r="L75" s="5"/>
      <c r="M75" s="5"/>
      <c r="N75" s="5" t="s">
        <v>481</v>
      </c>
      <c r="O75" s="5"/>
      <c r="P75" s="5"/>
      <c r="Q75" s="5" t="s">
        <v>55</v>
      </c>
      <c r="R75" s="10" t="s">
        <v>203</v>
      </c>
      <c r="S75" s="8" t="s">
        <v>491</v>
      </c>
      <c r="T75" s="8" t="s">
        <v>58</v>
      </c>
      <c r="U75" s="8" t="s">
        <v>491</v>
      </c>
      <c r="V75" s="5" t="s">
        <v>60</v>
      </c>
      <c r="W75" s="5" t="s">
        <v>492</v>
      </c>
    </row>
    <row r="76" spans="1:23" ht="30" x14ac:dyDescent="0.25">
      <c r="A76" s="5">
        <v>75</v>
      </c>
      <c r="B76" s="5" t="s">
        <v>17</v>
      </c>
      <c r="C76" s="5" t="s">
        <v>493</v>
      </c>
      <c r="D76" s="5" t="s">
        <v>494</v>
      </c>
      <c r="E76" s="5" t="s">
        <v>495</v>
      </c>
      <c r="F76" s="5" t="s">
        <v>64</v>
      </c>
      <c r="G76" s="5" t="s">
        <v>496</v>
      </c>
      <c r="H76" s="6">
        <v>13.9063125</v>
      </c>
      <c r="I76" s="6">
        <v>109.0181875</v>
      </c>
      <c r="J76" s="5" t="s">
        <v>497</v>
      </c>
      <c r="K76" s="5" t="s">
        <v>498</v>
      </c>
      <c r="L76" s="5"/>
      <c r="M76" s="5" t="s">
        <v>499</v>
      </c>
      <c r="N76" s="5"/>
      <c r="O76" s="5"/>
      <c r="P76" s="5"/>
      <c r="Q76" s="5" t="s">
        <v>500</v>
      </c>
      <c r="R76" s="9" t="s">
        <v>120</v>
      </c>
      <c r="S76" s="8" t="s">
        <v>501</v>
      </c>
      <c r="T76" s="8" t="s">
        <v>58</v>
      </c>
      <c r="U76" s="8" t="s">
        <v>501</v>
      </c>
      <c r="V76" s="5" t="s">
        <v>60</v>
      </c>
      <c r="W76" s="5"/>
    </row>
    <row r="77" spans="1:23" ht="30" x14ac:dyDescent="0.25">
      <c r="A77" s="5">
        <v>76</v>
      </c>
      <c r="B77" s="5" t="s">
        <v>17</v>
      </c>
      <c r="C77" s="5" t="s">
        <v>502</v>
      </c>
      <c r="D77" s="5" t="s">
        <v>503</v>
      </c>
      <c r="E77" s="5" t="s">
        <v>504</v>
      </c>
      <c r="F77" s="5" t="s">
        <v>104</v>
      </c>
      <c r="G77" s="5"/>
      <c r="H77" s="6"/>
      <c r="I77" s="6"/>
      <c r="J77" s="5" t="s">
        <v>105</v>
      </c>
      <c r="K77" s="5" t="s">
        <v>505</v>
      </c>
      <c r="L77" s="5"/>
      <c r="M77" s="5"/>
      <c r="N77" s="5"/>
      <c r="O77" s="5"/>
      <c r="P77" s="5"/>
      <c r="Q77" s="5" t="s">
        <v>109</v>
      </c>
      <c r="R77" s="9" t="s">
        <v>120</v>
      </c>
      <c r="S77" s="8" t="s">
        <v>506</v>
      </c>
      <c r="T77" s="8" t="s">
        <v>58</v>
      </c>
      <c r="U77" s="8" t="s">
        <v>506</v>
      </c>
      <c r="V77" s="5" t="s">
        <v>60</v>
      </c>
      <c r="W77" s="5"/>
    </row>
    <row r="78" spans="1:23" ht="45" x14ac:dyDescent="0.25">
      <c r="A78" s="5">
        <v>77</v>
      </c>
      <c r="B78" s="5" t="s">
        <v>17</v>
      </c>
      <c r="C78" s="5" t="s">
        <v>507</v>
      </c>
      <c r="D78" s="5" t="s">
        <v>508</v>
      </c>
      <c r="E78" s="5" t="s">
        <v>509</v>
      </c>
      <c r="F78" s="5" t="s">
        <v>72</v>
      </c>
      <c r="G78" s="5"/>
      <c r="H78" s="6"/>
      <c r="I78" s="6"/>
      <c r="J78" s="5" t="s">
        <v>51</v>
      </c>
      <c r="K78" s="5" t="s">
        <v>510</v>
      </c>
      <c r="L78" s="5"/>
      <c r="M78" s="5"/>
      <c r="N78" s="5" t="s">
        <v>511</v>
      </c>
      <c r="O78" s="5"/>
      <c r="P78" s="5"/>
      <c r="Q78" s="5" t="s">
        <v>55</v>
      </c>
      <c r="R78" s="9" t="s">
        <v>120</v>
      </c>
      <c r="S78" s="8" t="s">
        <v>512</v>
      </c>
      <c r="T78" s="8" t="s">
        <v>58</v>
      </c>
      <c r="U78" s="8" t="s">
        <v>512</v>
      </c>
      <c r="V78" s="5" t="s">
        <v>60</v>
      </c>
      <c r="W78" s="5"/>
    </row>
    <row r="79" spans="1:23" ht="30" x14ac:dyDescent="0.25">
      <c r="A79" s="5">
        <v>78</v>
      </c>
      <c r="B79" s="5" t="s">
        <v>17</v>
      </c>
      <c r="C79" s="5" t="s">
        <v>513</v>
      </c>
      <c r="D79" s="5" t="s">
        <v>514</v>
      </c>
      <c r="E79" s="5" t="s">
        <v>515</v>
      </c>
      <c r="F79" s="5" t="s">
        <v>104</v>
      </c>
      <c r="G79" s="5" t="s">
        <v>516</v>
      </c>
      <c r="H79" s="6">
        <v>13.8845375</v>
      </c>
      <c r="I79" s="6">
        <v>109.1182969</v>
      </c>
      <c r="J79" s="5" t="s">
        <v>517</v>
      </c>
      <c r="K79" s="5"/>
      <c r="L79" s="5"/>
      <c r="M79" s="5"/>
      <c r="N79" s="5"/>
      <c r="O79" s="5"/>
      <c r="P79" s="5"/>
      <c r="Q79" s="5" t="s">
        <v>109</v>
      </c>
      <c r="R79" s="9" t="s">
        <v>120</v>
      </c>
      <c r="S79" s="8" t="s">
        <v>518</v>
      </c>
      <c r="T79" s="8" t="s">
        <v>58</v>
      </c>
      <c r="U79" s="8" t="s">
        <v>518</v>
      </c>
      <c r="V79" s="5" t="s">
        <v>60</v>
      </c>
      <c r="W79" s="5"/>
    </row>
    <row r="80" spans="1:23" ht="45" x14ac:dyDescent="0.25">
      <c r="A80" s="5">
        <v>79</v>
      </c>
      <c r="B80" s="5" t="s">
        <v>17</v>
      </c>
      <c r="C80" s="5" t="s">
        <v>519</v>
      </c>
      <c r="D80" s="5" t="s">
        <v>520</v>
      </c>
      <c r="E80" s="5" t="s">
        <v>521</v>
      </c>
      <c r="F80" s="5" t="s">
        <v>72</v>
      </c>
      <c r="G80" s="5"/>
      <c r="H80" s="6"/>
      <c r="I80" s="6"/>
      <c r="J80" s="5" t="s">
        <v>51</v>
      </c>
      <c r="K80" s="5" t="s">
        <v>522</v>
      </c>
      <c r="L80" s="5"/>
      <c r="M80" s="5"/>
      <c r="N80" s="5" t="s">
        <v>523</v>
      </c>
      <c r="O80" s="5"/>
      <c r="P80" s="5"/>
      <c r="Q80" s="5" t="s">
        <v>55</v>
      </c>
      <c r="R80" s="9" t="s">
        <v>120</v>
      </c>
      <c r="S80" s="8" t="s">
        <v>524</v>
      </c>
      <c r="T80" s="8" t="s">
        <v>58</v>
      </c>
      <c r="U80" s="8" t="s">
        <v>524</v>
      </c>
      <c r="V80" s="5" t="s">
        <v>60</v>
      </c>
      <c r="W80" s="5"/>
    </row>
    <row r="81" spans="1:23" ht="45" x14ac:dyDescent="0.25">
      <c r="A81" s="5">
        <v>80</v>
      </c>
      <c r="B81" s="5" t="s">
        <v>17</v>
      </c>
      <c r="C81" s="5" t="s">
        <v>525</v>
      </c>
      <c r="D81" s="5" t="s">
        <v>526</v>
      </c>
      <c r="E81" s="5" t="s">
        <v>527</v>
      </c>
      <c r="F81" s="5" t="s">
        <v>92</v>
      </c>
      <c r="G81" s="5" t="s">
        <v>528</v>
      </c>
      <c r="H81" s="6">
        <v>13.8911625</v>
      </c>
      <c r="I81" s="6">
        <v>109.06689059999999</v>
      </c>
      <c r="J81" s="5" t="s">
        <v>529</v>
      </c>
      <c r="K81" s="5"/>
      <c r="L81" s="5"/>
      <c r="M81" s="5"/>
      <c r="N81" s="5" t="s">
        <v>530</v>
      </c>
      <c r="O81" s="5"/>
      <c r="P81" s="5"/>
      <c r="Q81" s="5" t="s">
        <v>55</v>
      </c>
      <c r="R81" s="9" t="s">
        <v>120</v>
      </c>
      <c r="S81" s="8" t="s">
        <v>531</v>
      </c>
      <c r="T81" s="8" t="s">
        <v>58</v>
      </c>
      <c r="U81" s="8" t="s">
        <v>531</v>
      </c>
      <c r="V81" s="5" t="s">
        <v>60</v>
      </c>
      <c r="W81" s="5"/>
    </row>
    <row r="82" spans="1:23" ht="45" x14ac:dyDescent="0.25">
      <c r="A82" s="5">
        <v>81</v>
      </c>
      <c r="B82" s="5" t="s">
        <v>17</v>
      </c>
      <c r="C82" s="5" t="s">
        <v>525</v>
      </c>
      <c r="D82" s="5" t="s">
        <v>532</v>
      </c>
      <c r="E82" s="5" t="s">
        <v>533</v>
      </c>
      <c r="F82" s="5" t="s">
        <v>64</v>
      </c>
      <c r="G82" s="5" t="s">
        <v>534</v>
      </c>
      <c r="H82" s="6">
        <v>13.902312500000001</v>
      </c>
      <c r="I82" s="6">
        <v>109.0190156</v>
      </c>
      <c r="J82" s="5" t="s">
        <v>535</v>
      </c>
      <c r="K82" s="5"/>
      <c r="L82" s="5"/>
      <c r="M82" s="5"/>
      <c r="N82" s="5" t="s">
        <v>530</v>
      </c>
      <c r="O82" s="5"/>
      <c r="P82" s="5"/>
      <c r="Q82" s="5" t="s">
        <v>55</v>
      </c>
      <c r="R82" s="9" t="s">
        <v>120</v>
      </c>
      <c r="S82" s="8" t="s">
        <v>536</v>
      </c>
      <c r="T82" s="8" t="s">
        <v>58</v>
      </c>
      <c r="U82" s="8" t="s">
        <v>536</v>
      </c>
      <c r="V82" s="5" t="s">
        <v>60</v>
      </c>
      <c r="W82" s="5"/>
    </row>
    <row r="83" spans="1:23" ht="45" x14ac:dyDescent="0.25">
      <c r="A83" s="5">
        <v>82</v>
      </c>
      <c r="B83" s="5" t="s">
        <v>17</v>
      </c>
      <c r="C83" s="5" t="s">
        <v>445</v>
      </c>
      <c r="D83" s="5" t="s">
        <v>537</v>
      </c>
      <c r="E83" s="5" t="s">
        <v>538</v>
      </c>
      <c r="F83" s="5" t="s">
        <v>72</v>
      </c>
      <c r="G83" s="5"/>
      <c r="H83" s="6"/>
      <c r="I83" s="6"/>
      <c r="J83" s="5" t="s">
        <v>51</v>
      </c>
      <c r="K83" s="5" t="s">
        <v>539</v>
      </c>
      <c r="L83" s="5"/>
      <c r="M83" s="5"/>
      <c r="N83" s="5" t="s">
        <v>451</v>
      </c>
      <c r="O83" s="5"/>
      <c r="P83" s="5"/>
      <c r="Q83" s="5" t="s">
        <v>55</v>
      </c>
      <c r="R83" s="9" t="s">
        <v>120</v>
      </c>
      <c r="S83" s="8" t="s">
        <v>540</v>
      </c>
      <c r="T83" s="8" t="s">
        <v>58</v>
      </c>
      <c r="U83" s="8" t="s">
        <v>540</v>
      </c>
      <c r="V83" s="5" t="s">
        <v>60</v>
      </c>
      <c r="W83" s="5"/>
    </row>
    <row r="84" spans="1:23" ht="45" x14ac:dyDescent="0.25">
      <c r="A84" s="5">
        <v>83</v>
      </c>
      <c r="B84" s="5" t="s">
        <v>18</v>
      </c>
      <c r="C84" s="5" t="s">
        <v>541</v>
      </c>
      <c r="D84" s="5" t="s">
        <v>542</v>
      </c>
      <c r="E84" s="5" t="s">
        <v>543</v>
      </c>
      <c r="F84" s="5" t="s">
        <v>72</v>
      </c>
      <c r="G84" s="5"/>
      <c r="H84" s="6"/>
      <c r="I84" s="6"/>
      <c r="J84" s="5" t="s">
        <v>51</v>
      </c>
      <c r="K84" s="5" t="s">
        <v>544</v>
      </c>
      <c r="L84" s="5"/>
      <c r="M84" s="5"/>
      <c r="N84" s="5" t="s">
        <v>545</v>
      </c>
      <c r="O84" s="5"/>
      <c r="P84" s="5"/>
      <c r="Q84" s="5" t="s">
        <v>55</v>
      </c>
      <c r="R84" s="9" t="s">
        <v>120</v>
      </c>
      <c r="S84" s="8" t="s">
        <v>546</v>
      </c>
      <c r="T84" s="8" t="s">
        <v>58</v>
      </c>
      <c r="U84" s="8" t="s">
        <v>546</v>
      </c>
      <c r="V84" s="5" t="s">
        <v>60</v>
      </c>
      <c r="W84" s="5"/>
    </row>
    <row r="85" spans="1:23" ht="45" x14ac:dyDescent="0.25">
      <c r="A85" s="5">
        <v>84</v>
      </c>
      <c r="B85" s="5" t="s">
        <v>18</v>
      </c>
      <c r="C85" s="5" t="s">
        <v>541</v>
      </c>
      <c r="D85" s="5" t="s">
        <v>547</v>
      </c>
      <c r="E85" s="5" t="s">
        <v>548</v>
      </c>
      <c r="F85" s="5" t="s">
        <v>72</v>
      </c>
      <c r="G85" s="5"/>
      <c r="H85" s="6"/>
      <c r="I85" s="6"/>
      <c r="J85" s="5" t="s">
        <v>51</v>
      </c>
      <c r="K85" s="5" t="s">
        <v>549</v>
      </c>
      <c r="L85" s="5"/>
      <c r="M85" s="5"/>
      <c r="N85" s="5" t="s">
        <v>545</v>
      </c>
      <c r="O85" s="5"/>
      <c r="P85" s="5"/>
      <c r="Q85" s="5" t="s">
        <v>55</v>
      </c>
      <c r="R85" s="9" t="s">
        <v>120</v>
      </c>
      <c r="S85" s="8" t="s">
        <v>550</v>
      </c>
      <c r="T85" s="8" t="s">
        <v>58</v>
      </c>
      <c r="U85" s="8" t="s">
        <v>550</v>
      </c>
      <c r="V85" s="5" t="s">
        <v>60</v>
      </c>
      <c r="W85" s="5"/>
    </row>
    <row r="86" spans="1:23" ht="45" x14ac:dyDescent="0.25">
      <c r="A86" s="5">
        <v>85</v>
      </c>
      <c r="B86" s="5" t="s">
        <v>18</v>
      </c>
      <c r="C86" s="5" t="s">
        <v>541</v>
      </c>
      <c r="D86" s="5" t="s">
        <v>551</v>
      </c>
      <c r="E86" s="5" t="s">
        <v>552</v>
      </c>
      <c r="F86" s="5" t="s">
        <v>72</v>
      </c>
      <c r="G86" s="5"/>
      <c r="H86" s="6"/>
      <c r="I86" s="6"/>
      <c r="J86" s="5" t="s">
        <v>51</v>
      </c>
      <c r="K86" s="5" t="s">
        <v>553</v>
      </c>
      <c r="L86" s="5"/>
      <c r="M86" s="5"/>
      <c r="N86" s="5" t="s">
        <v>545</v>
      </c>
      <c r="O86" s="5"/>
      <c r="P86" s="5"/>
      <c r="Q86" s="5" t="s">
        <v>55</v>
      </c>
      <c r="R86" s="9" t="s">
        <v>120</v>
      </c>
      <c r="S86" s="8" t="s">
        <v>554</v>
      </c>
      <c r="T86" s="8" t="s">
        <v>58</v>
      </c>
      <c r="U86" s="8" t="s">
        <v>554</v>
      </c>
      <c r="V86" s="5" t="s">
        <v>60</v>
      </c>
      <c r="W86" s="5"/>
    </row>
    <row r="87" spans="1:23" ht="45" x14ac:dyDescent="0.25">
      <c r="A87" s="5">
        <v>86</v>
      </c>
      <c r="B87" s="5" t="s">
        <v>18</v>
      </c>
      <c r="C87" s="5" t="s">
        <v>541</v>
      </c>
      <c r="D87" s="5" t="s">
        <v>555</v>
      </c>
      <c r="E87" s="5" t="s">
        <v>556</v>
      </c>
      <c r="F87" s="5" t="s">
        <v>72</v>
      </c>
      <c r="G87" s="5"/>
      <c r="H87" s="6"/>
      <c r="I87" s="6"/>
      <c r="J87" s="5" t="s">
        <v>51</v>
      </c>
      <c r="K87" s="5"/>
      <c r="L87" s="5"/>
      <c r="M87" s="5"/>
      <c r="N87" s="5" t="s">
        <v>545</v>
      </c>
      <c r="O87" s="5"/>
      <c r="P87" s="5"/>
      <c r="Q87" s="5" t="s">
        <v>55</v>
      </c>
      <c r="R87" s="9" t="s">
        <v>120</v>
      </c>
      <c r="S87" s="8" t="s">
        <v>557</v>
      </c>
      <c r="T87" s="8" t="s">
        <v>58</v>
      </c>
      <c r="U87" s="8" t="s">
        <v>557</v>
      </c>
      <c r="V87" s="5" t="s">
        <v>60</v>
      </c>
      <c r="W87" s="5"/>
    </row>
    <row r="88" spans="1:23" ht="45" x14ac:dyDescent="0.25">
      <c r="A88" s="5">
        <v>87</v>
      </c>
      <c r="B88" s="5" t="s">
        <v>18</v>
      </c>
      <c r="C88" s="5" t="s">
        <v>541</v>
      </c>
      <c r="D88" s="5" t="s">
        <v>558</v>
      </c>
      <c r="E88" s="5" t="s">
        <v>559</v>
      </c>
      <c r="F88" s="5" t="s">
        <v>64</v>
      </c>
      <c r="G88" s="5"/>
      <c r="H88" s="6"/>
      <c r="I88" s="6"/>
      <c r="J88" s="5" t="s">
        <v>51</v>
      </c>
      <c r="K88" s="5" t="s">
        <v>560</v>
      </c>
      <c r="L88" s="5"/>
      <c r="M88" s="5"/>
      <c r="N88" s="5" t="s">
        <v>545</v>
      </c>
      <c r="O88" s="5"/>
      <c r="P88" s="5"/>
      <c r="Q88" s="5" t="s">
        <v>55</v>
      </c>
      <c r="R88" s="9" t="s">
        <v>120</v>
      </c>
      <c r="S88" s="8" t="s">
        <v>561</v>
      </c>
      <c r="T88" s="8" t="s">
        <v>58</v>
      </c>
      <c r="U88" s="8" t="s">
        <v>561</v>
      </c>
      <c r="V88" s="5" t="s">
        <v>60</v>
      </c>
      <c r="W88" s="5"/>
    </row>
    <row r="89" spans="1:23" ht="30" x14ac:dyDescent="0.25">
      <c r="A89" s="5">
        <v>88</v>
      </c>
      <c r="B89" s="5" t="s">
        <v>18</v>
      </c>
      <c r="C89" s="5" t="s">
        <v>562</v>
      </c>
      <c r="D89" s="5" t="s">
        <v>563</v>
      </c>
      <c r="E89" s="5" t="s">
        <v>564</v>
      </c>
      <c r="F89" s="5" t="s">
        <v>104</v>
      </c>
      <c r="G89" s="5"/>
      <c r="H89" s="6"/>
      <c r="I89" s="6"/>
      <c r="J89" s="5" t="s">
        <v>105</v>
      </c>
      <c r="K89" s="5" t="s">
        <v>565</v>
      </c>
      <c r="L89" s="5"/>
      <c r="M89" s="5"/>
      <c r="N89" s="5"/>
      <c r="O89" s="5"/>
      <c r="P89" s="5" t="s">
        <v>566</v>
      </c>
      <c r="Q89" s="5" t="s">
        <v>109</v>
      </c>
      <c r="R89" s="9" t="s">
        <v>120</v>
      </c>
      <c r="S89" s="8" t="s">
        <v>567</v>
      </c>
      <c r="T89" s="8" t="s">
        <v>58</v>
      </c>
      <c r="U89" s="8" t="s">
        <v>567</v>
      </c>
      <c r="V89" s="5" t="s">
        <v>60</v>
      </c>
      <c r="W89" s="5"/>
    </row>
    <row r="90" spans="1:23" ht="30" x14ac:dyDescent="0.25">
      <c r="A90" s="5">
        <v>89</v>
      </c>
      <c r="B90" s="5" t="s">
        <v>18</v>
      </c>
      <c r="C90" s="5" t="s">
        <v>562</v>
      </c>
      <c r="D90" s="5" t="s">
        <v>568</v>
      </c>
      <c r="E90" s="5" t="s">
        <v>569</v>
      </c>
      <c r="F90" s="5" t="s">
        <v>104</v>
      </c>
      <c r="G90" s="5"/>
      <c r="H90" s="6"/>
      <c r="I90" s="6"/>
      <c r="J90" s="5" t="s">
        <v>105</v>
      </c>
      <c r="K90" s="5"/>
      <c r="L90" s="5"/>
      <c r="M90" s="5" t="s">
        <v>570</v>
      </c>
      <c r="N90" s="5"/>
      <c r="O90" s="5"/>
      <c r="P90" s="5"/>
      <c r="Q90" s="5" t="s">
        <v>109</v>
      </c>
      <c r="R90" s="9" t="s">
        <v>120</v>
      </c>
      <c r="S90" s="8" t="s">
        <v>571</v>
      </c>
      <c r="T90" s="8" t="s">
        <v>58</v>
      </c>
      <c r="U90" s="8" t="s">
        <v>571</v>
      </c>
      <c r="V90" s="5" t="s">
        <v>60</v>
      </c>
      <c r="W90" s="5"/>
    </row>
    <row r="91" spans="1:23" ht="30" x14ac:dyDescent="0.25">
      <c r="A91" s="5">
        <v>90</v>
      </c>
      <c r="B91" s="5" t="s">
        <v>18</v>
      </c>
      <c r="C91" s="5" t="s">
        <v>562</v>
      </c>
      <c r="D91" s="5" t="s">
        <v>572</v>
      </c>
      <c r="E91" s="5" t="s">
        <v>573</v>
      </c>
      <c r="F91" s="5" t="s">
        <v>104</v>
      </c>
      <c r="G91" s="5"/>
      <c r="H91" s="6"/>
      <c r="I91" s="6"/>
      <c r="J91" s="5" t="s">
        <v>105</v>
      </c>
      <c r="K91" s="5" t="s">
        <v>574</v>
      </c>
      <c r="L91" s="5"/>
      <c r="M91" s="5" t="s">
        <v>575</v>
      </c>
      <c r="N91" s="5"/>
      <c r="O91" s="5"/>
      <c r="P91" s="5"/>
      <c r="Q91" s="5" t="s">
        <v>109</v>
      </c>
      <c r="R91" s="9" t="s">
        <v>120</v>
      </c>
      <c r="S91" s="8" t="s">
        <v>576</v>
      </c>
      <c r="T91" s="8" t="s">
        <v>58</v>
      </c>
      <c r="U91" s="8" t="s">
        <v>576</v>
      </c>
      <c r="V91" s="5" t="s">
        <v>60</v>
      </c>
      <c r="W91" s="5"/>
    </row>
    <row r="92" spans="1:23" ht="30" x14ac:dyDescent="0.25">
      <c r="A92" s="5">
        <v>91</v>
      </c>
      <c r="B92" s="5" t="s">
        <v>18</v>
      </c>
      <c r="C92" s="5" t="s">
        <v>577</v>
      </c>
      <c r="D92" s="5" t="s">
        <v>578</v>
      </c>
      <c r="E92" s="5" t="s">
        <v>579</v>
      </c>
      <c r="F92" s="5" t="s">
        <v>104</v>
      </c>
      <c r="G92" s="5"/>
      <c r="H92" s="6"/>
      <c r="I92" s="6"/>
      <c r="J92" s="5" t="s">
        <v>105</v>
      </c>
      <c r="K92" s="5" t="s">
        <v>580</v>
      </c>
      <c r="L92" s="5"/>
      <c r="M92" s="5"/>
      <c r="N92" s="5"/>
      <c r="O92" s="5"/>
      <c r="P92" s="5"/>
      <c r="Q92" s="5" t="s">
        <v>109</v>
      </c>
      <c r="R92" s="9" t="s">
        <v>120</v>
      </c>
      <c r="S92" s="8" t="s">
        <v>581</v>
      </c>
      <c r="T92" s="8" t="s">
        <v>58</v>
      </c>
      <c r="U92" s="8" t="s">
        <v>581</v>
      </c>
      <c r="V92" s="5" t="s">
        <v>60</v>
      </c>
      <c r="W92" s="5"/>
    </row>
    <row r="93" spans="1:23" ht="30" x14ac:dyDescent="0.25">
      <c r="A93" s="5">
        <v>92</v>
      </c>
      <c r="B93" s="5" t="s">
        <v>18</v>
      </c>
      <c r="C93" s="5" t="s">
        <v>577</v>
      </c>
      <c r="D93" s="5" t="s">
        <v>582</v>
      </c>
      <c r="E93" s="5" t="s">
        <v>583</v>
      </c>
      <c r="F93" s="5" t="s">
        <v>104</v>
      </c>
      <c r="G93" s="5"/>
      <c r="H93" s="6"/>
      <c r="I93" s="6"/>
      <c r="J93" s="5" t="s">
        <v>105</v>
      </c>
      <c r="K93" s="5" t="s">
        <v>584</v>
      </c>
      <c r="L93" s="5" t="s">
        <v>585</v>
      </c>
      <c r="M93" s="5" t="s">
        <v>586</v>
      </c>
      <c r="N93" s="5"/>
      <c r="O93" s="5"/>
      <c r="P93" s="5" t="s">
        <v>587</v>
      </c>
      <c r="Q93" s="5" t="s">
        <v>109</v>
      </c>
      <c r="R93" s="7" t="s">
        <v>56</v>
      </c>
      <c r="S93" s="8" t="s">
        <v>588</v>
      </c>
      <c r="T93" s="8" t="s">
        <v>58</v>
      </c>
      <c r="U93" s="8" t="s">
        <v>588</v>
      </c>
      <c r="V93" s="5" t="s">
        <v>60</v>
      </c>
      <c r="W93" s="5"/>
    </row>
    <row r="94" spans="1:23" ht="30" x14ac:dyDescent="0.25">
      <c r="A94" s="5">
        <v>93</v>
      </c>
      <c r="B94" s="5" t="s">
        <v>18</v>
      </c>
      <c r="C94" s="5" t="s">
        <v>589</v>
      </c>
      <c r="D94" s="5" t="s">
        <v>590</v>
      </c>
      <c r="E94" s="5" t="s">
        <v>591</v>
      </c>
      <c r="F94" s="5" t="s">
        <v>104</v>
      </c>
      <c r="G94" s="5" t="s">
        <v>592</v>
      </c>
      <c r="H94" s="6">
        <v>13.8890875</v>
      </c>
      <c r="I94" s="6">
        <v>109.1152656</v>
      </c>
      <c r="J94" s="5" t="s">
        <v>593</v>
      </c>
      <c r="K94" s="5"/>
      <c r="L94" s="5"/>
      <c r="M94" s="5"/>
      <c r="N94" s="5"/>
      <c r="O94" s="5"/>
      <c r="P94" s="5"/>
      <c r="Q94" s="5" t="s">
        <v>109</v>
      </c>
      <c r="R94" s="9" t="s">
        <v>120</v>
      </c>
      <c r="S94" s="8" t="s">
        <v>594</v>
      </c>
      <c r="T94" s="8" t="s">
        <v>58</v>
      </c>
      <c r="U94" s="8" t="s">
        <v>594</v>
      </c>
      <c r="V94" s="5" t="s">
        <v>60</v>
      </c>
      <c r="W94" s="5"/>
    </row>
    <row r="95" spans="1:23" ht="30" x14ac:dyDescent="0.25">
      <c r="A95" s="5">
        <v>94</v>
      </c>
      <c r="B95" s="5" t="s">
        <v>18</v>
      </c>
      <c r="C95" s="5" t="s">
        <v>589</v>
      </c>
      <c r="D95" s="5" t="s">
        <v>595</v>
      </c>
      <c r="E95" s="5" t="s">
        <v>596</v>
      </c>
      <c r="F95" s="5" t="s">
        <v>92</v>
      </c>
      <c r="G95" s="5" t="s">
        <v>597</v>
      </c>
      <c r="H95" s="6">
        <v>13.8917875</v>
      </c>
      <c r="I95" s="6">
        <v>109.0643281</v>
      </c>
      <c r="J95" s="5" t="s">
        <v>598</v>
      </c>
      <c r="K95" s="5"/>
      <c r="L95" s="5"/>
      <c r="M95" s="5"/>
      <c r="N95" s="5"/>
      <c r="O95" s="5"/>
      <c r="P95" s="5"/>
      <c r="Q95" s="5" t="s">
        <v>599</v>
      </c>
      <c r="R95" s="9" t="s">
        <v>120</v>
      </c>
      <c r="S95" s="8" t="s">
        <v>600</v>
      </c>
      <c r="T95" s="8" t="s">
        <v>58</v>
      </c>
      <c r="U95" s="8" t="s">
        <v>600</v>
      </c>
      <c r="V95" s="5" t="s">
        <v>60</v>
      </c>
      <c r="W95" s="5"/>
    </row>
    <row r="96" spans="1:23" ht="30" x14ac:dyDescent="0.25">
      <c r="A96" s="5">
        <v>95</v>
      </c>
      <c r="B96" s="5" t="s">
        <v>18</v>
      </c>
      <c r="C96" s="5" t="s">
        <v>589</v>
      </c>
      <c r="D96" s="5" t="s">
        <v>601</v>
      </c>
      <c r="E96" s="5" t="s">
        <v>602</v>
      </c>
      <c r="F96" s="5" t="s">
        <v>64</v>
      </c>
      <c r="G96" s="5" t="s">
        <v>603</v>
      </c>
      <c r="H96" s="6">
        <v>13.9025625</v>
      </c>
      <c r="I96" s="6">
        <v>109.01779689999999</v>
      </c>
      <c r="J96" s="5" t="s">
        <v>604</v>
      </c>
      <c r="K96" s="5"/>
      <c r="L96" s="5"/>
      <c r="M96" s="5"/>
      <c r="N96" s="5"/>
      <c r="O96" s="5"/>
      <c r="P96" s="5"/>
      <c r="Q96" s="5" t="s">
        <v>605</v>
      </c>
      <c r="R96" s="9" t="s">
        <v>120</v>
      </c>
      <c r="S96" s="8" t="s">
        <v>606</v>
      </c>
      <c r="T96" s="8" t="s">
        <v>58</v>
      </c>
      <c r="U96" s="8" t="s">
        <v>606</v>
      </c>
      <c r="V96" s="5" t="s">
        <v>60</v>
      </c>
      <c r="W96" s="5"/>
    </row>
    <row r="97" spans="1:23" ht="30" x14ac:dyDescent="0.25">
      <c r="A97" s="5">
        <v>96</v>
      </c>
      <c r="B97" s="5" t="s">
        <v>19</v>
      </c>
      <c r="C97" s="5" t="s">
        <v>607</v>
      </c>
      <c r="D97" s="5" t="s">
        <v>608</v>
      </c>
      <c r="E97" s="5" t="s">
        <v>609</v>
      </c>
      <c r="F97" s="5" t="s">
        <v>104</v>
      </c>
      <c r="G97" s="5"/>
      <c r="H97" s="6"/>
      <c r="I97" s="6"/>
      <c r="J97" s="5" t="s">
        <v>105</v>
      </c>
      <c r="K97" s="5" t="s">
        <v>610</v>
      </c>
      <c r="L97" s="5"/>
      <c r="M97" s="5" t="s">
        <v>611</v>
      </c>
      <c r="N97" s="5"/>
      <c r="O97" s="5"/>
      <c r="P97" s="5"/>
      <c r="Q97" s="5" t="s">
        <v>109</v>
      </c>
      <c r="R97" s="7" t="s">
        <v>56</v>
      </c>
      <c r="S97" s="8" t="s">
        <v>612</v>
      </c>
      <c r="T97" s="8" t="s">
        <v>58</v>
      </c>
      <c r="U97" s="8" t="s">
        <v>613</v>
      </c>
      <c r="V97" s="5" t="s">
        <v>60</v>
      </c>
      <c r="W97" s="5"/>
    </row>
    <row r="98" spans="1:23" ht="45" x14ac:dyDescent="0.25">
      <c r="A98" s="5">
        <v>97</v>
      </c>
      <c r="B98" s="5" t="s">
        <v>19</v>
      </c>
      <c r="C98" s="5" t="s">
        <v>607</v>
      </c>
      <c r="D98" s="5" t="s">
        <v>614</v>
      </c>
      <c r="E98" s="5" t="s">
        <v>615</v>
      </c>
      <c r="F98" s="5" t="s">
        <v>72</v>
      </c>
      <c r="G98" s="5"/>
      <c r="H98" s="6"/>
      <c r="I98" s="6"/>
      <c r="J98" s="5" t="s">
        <v>51</v>
      </c>
      <c r="K98" s="5"/>
      <c r="L98" s="5"/>
      <c r="M98" s="5"/>
      <c r="N98" s="5" t="s">
        <v>616</v>
      </c>
      <c r="O98" s="5"/>
      <c r="P98" s="5"/>
      <c r="Q98" s="5" t="s">
        <v>55</v>
      </c>
      <c r="R98" s="9" t="s">
        <v>120</v>
      </c>
      <c r="S98" s="8" t="s">
        <v>617</v>
      </c>
      <c r="T98" s="8" t="s">
        <v>58</v>
      </c>
      <c r="U98" s="8" t="s">
        <v>618</v>
      </c>
      <c r="V98" s="5" t="s">
        <v>60</v>
      </c>
      <c r="W98" s="5"/>
    </row>
    <row r="99" spans="1:23" ht="45" x14ac:dyDescent="0.25">
      <c r="A99" s="5">
        <v>98</v>
      </c>
      <c r="B99" s="5" t="s">
        <v>19</v>
      </c>
      <c r="C99" s="5" t="s">
        <v>619</v>
      </c>
      <c r="D99" s="5" t="s">
        <v>620</v>
      </c>
      <c r="E99" s="5" t="s">
        <v>621</v>
      </c>
      <c r="F99" s="5" t="s">
        <v>72</v>
      </c>
      <c r="G99" s="5"/>
      <c r="H99" s="6"/>
      <c r="I99" s="6"/>
      <c r="J99" s="5" t="s">
        <v>51</v>
      </c>
      <c r="K99" s="5"/>
      <c r="L99" s="5"/>
      <c r="M99" s="5"/>
      <c r="N99" s="5" t="s">
        <v>622</v>
      </c>
      <c r="O99" s="5"/>
      <c r="P99" s="5"/>
      <c r="Q99" s="5" t="s">
        <v>55</v>
      </c>
      <c r="R99" s="9" t="s">
        <v>120</v>
      </c>
      <c r="S99" s="8" t="s">
        <v>617</v>
      </c>
      <c r="T99" s="8" t="s">
        <v>58</v>
      </c>
      <c r="U99" s="8" t="s">
        <v>623</v>
      </c>
      <c r="V99" s="5" t="s">
        <v>60</v>
      </c>
      <c r="W99" s="5"/>
    </row>
    <row r="100" spans="1:23" ht="45" x14ac:dyDescent="0.25">
      <c r="A100" s="5">
        <v>99</v>
      </c>
      <c r="B100" s="5" t="s">
        <v>19</v>
      </c>
      <c r="C100" s="5" t="s">
        <v>619</v>
      </c>
      <c r="D100" s="5" t="s">
        <v>624</v>
      </c>
      <c r="E100" s="5" t="s">
        <v>625</v>
      </c>
      <c r="F100" s="5" t="s">
        <v>72</v>
      </c>
      <c r="G100" s="5"/>
      <c r="H100" s="6"/>
      <c r="I100" s="6"/>
      <c r="J100" s="5" t="s">
        <v>51</v>
      </c>
      <c r="K100" s="5"/>
      <c r="L100" s="5"/>
      <c r="M100" s="5"/>
      <c r="N100" s="5" t="s">
        <v>626</v>
      </c>
      <c r="O100" s="5"/>
      <c r="P100" s="5"/>
      <c r="Q100" s="5" t="s">
        <v>55</v>
      </c>
      <c r="R100" s="9" t="s">
        <v>120</v>
      </c>
      <c r="S100" s="8" t="s">
        <v>617</v>
      </c>
      <c r="T100" s="8" t="s">
        <v>58</v>
      </c>
      <c r="U100" s="8" t="s">
        <v>627</v>
      </c>
      <c r="V100" s="5" t="s">
        <v>60</v>
      </c>
      <c r="W100" s="5"/>
    </row>
    <row r="101" spans="1:23" ht="45" x14ac:dyDescent="0.25">
      <c r="A101" s="5">
        <v>100</v>
      </c>
      <c r="B101" s="5" t="s">
        <v>19</v>
      </c>
      <c r="C101" s="5" t="s">
        <v>619</v>
      </c>
      <c r="D101" s="5" t="s">
        <v>628</v>
      </c>
      <c r="E101" s="5" t="s">
        <v>615</v>
      </c>
      <c r="F101" s="5" t="s">
        <v>72</v>
      </c>
      <c r="G101" s="5"/>
      <c r="H101" s="6"/>
      <c r="I101" s="6"/>
      <c r="J101" s="5" t="s">
        <v>51</v>
      </c>
      <c r="K101" s="5"/>
      <c r="L101" s="5"/>
      <c r="M101" s="5"/>
      <c r="N101" s="5" t="s">
        <v>626</v>
      </c>
      <c r="O101" s="5"/>
      <c r="P101" s="5"/>
      <c r="Q101" s="5" t="s">
        <v>55</v>
      </c>
      <c r="R101" s="9" t="s">
        <v>120</v>
      </c>
      <c r="S101" s="8" t="s">
        <v>617</v>
      </c>
      <c r="T101" s="8" t="s">
        <v>58</v>
      </c>
      <c r="U101" s="8" t="s">
        <v>629</v>
      </c>
      <c r="V101" s="5" t="s">
        <v>60</v>
      </c>
      <c r="W101" s="5"/>
    </row>
    <row r="102" spans="1:23" ht="45" x14ac:dyDescent="0.25">
      <c r="A102" s="5">
        <v>101</v>
      </c>
      <c r="B102" s="5" t="s">
        <v>19</v>
      </c>
      <c r="C102" s="5" t="s">
        <v>619</v>
      </c>
      <c r="D102" s="5" t="s">
        <v>630</v>
      </c>
      <c r="E102" s="5" t="s">
        <v>631</v>
      </c>
      <c r="F102" s="5" t="s">
        <v>72</v>
      </c>
      <c r="G102" s="5"/>
      <c r="H102" s="6"/>
      <c r="I102" s="6"/>
      <c r="J102" s="5" t="s">
        <v>51</v>
      </c>
      <c r="K102" s="5"/>
      <c r="L102" s="5"/>
      <c r="M102" s="5"/>
      <c r="N102" s="5" t="s">
        <v>632</v>
      </c>
      <c r="O102" s="5"/>
      <c r="P102" s="5"/>
      <c r="Q102" s="5" t="s">
        <v>55</v>
      </c>
      <c r="R102" s="9" t="s">
        <v>120</v>
      </c>
      <c r="S102" s="8" t="s">
        <v>617</v>
      </c>
      <c r="T102" s="8" t="s">
        <v>58</v>
      </c>
      <c r="U102" s="8" t="s">
        <v>633</v>
      </c>
      <c r="V102" s="5" t="s">
        <v>60</v>
      </c>
      <c r="W102" s="5"/>
    </row>
    <row r="103" spans="1:23" ht="45" x14ac:dyDescent="0.25">
      <c r="A103" s="5">
        <v>102</v>
      </c>
      <c r="B103" s="5" t="s">
        <v>19</v>
      </c>
      <c r="C103" s="5" t="s">
        <v>619</v>
      </c>
      <c r="D103" s="5" t="s">
        <v>634</v>
      </c>
      <c r="E103" s="5" t="s">
        <v>635</v>
      </c>
      <c r="F103" s="5" t="s">
        <v>72</v>
      </c>
      <c r="G103" s="5"/>
      <c r="H103" s="6"/>
      <c r="I103" s="6"/>
      <c r="J103" s="5" t="s">
        <v>51</v>
      </c>
      <c r="K103" s="5"/>
      <c r="L103" s="5"/>
      <c r="M103" s="5"/>
      <c r="N103" s="5" t="s">
        <v>636</v>
      </c>
      <c r="O103" s="5"/>
      <c r="P103" s="5"/>
      <c r="Q103" s="5" t="s">
        <v>55</v>
      </c>
      <c r="R103" s="9" t="s">
        <v>120</v>
      </c>
      <c r="S103" s="8" t="s">
        <v>617</v>
      </c>
      <c r="T103" s="8" t="s">
        <v>58</v>
      </c>
      <c r="U103" s="8" t="s">
        <v>637</v>
      </c>
      <c r="V103" s="5" t="s">
        <v>60</v>
      </c>
      <c r="W103" s="5"/>
    </row>
    <row r="104" spans="1:23" ht="45" x14ac:dyDescent="0.25">
      <c r="A104" s="5">
        <v>103</v>
      </c>
      <c r="B104" s="5" t="s">
        <v>19</v>
      </c>
      <c r="C104" s="5" t="s">
        <v>619</v>
      </c>
      <c r="D104" s="5" t="s">
        <v>638</v>
      </c>
      <c r="E104" s="5" t="s">
        <v>639</v>
      </c>
      <c r="F104" s="5" t="s">
        <v>72</v>
      </c>
      <c r="G104" s="5"/>
      <c r="H104" s="6"/>
      <c r="I104" s="6"/>
      <c r="J104" s="5" t="s">
        <v>51</v>
      </c>
      <c r="K104" s="5"/>
      <c r="L104" s="5"/>
      <c r="M104" s="5"/>
      <c r="N104" s="5" t="s">
        <v>640</v>
      </c>
      <c r="O104" s="5"/>
      <c r="P104" s="5"/>
      <c r="Q104" s="5" t="s">
        <v>55</v>
      </c>
      <c r="R104" s="9" t="s">
        <v>120</v>
      </c>
      <c r="S104" s="8" t="s">
        <v>617</v>
      </c>
      <c r="T104" s="8" t="s">
        <v>58</v>
      </c>
      <c r="U104" s="8" t="s">
        <v>641</v>
      </c>
      <c r="V104" s="5" t="s">
        <v>60</v>
      </c>
      <c r="W104" s="5"/>
    </row>
    <row r="105" spans="1:23" ht="45" x14ac:dyDescent="0.25">
      <c r="A105" s="5">
        <v>104</v>
      </c>
      <c r="B105" s="5" t="s">
        <v>19</v>
      </c>
      <c r="C105" s="5" t="s">
        <v>619</v>
      </c>
      <c r="D105" s="5" t="s">
        <v>642</v>
      </c>
      <c r="E105" s="5" t="s">
        <v>643</v>
      </c>
      <c r="F105" s="5" t="s">
        <v>72</v>
      </c>
      <c r="G105" s="5"/>
      <c r="H105" s="6"/>
      <c r="I105" s="6"/>
      <c r="J105" s="5" t="s">
        <v>51</v>
      </c>
      <c r="K105" s="5" t="s">
        <v>644</v>
      </c>
      <c r="L105" s="5"/>
      <c r="M105" s="5"/>
      <c r="N105" s="5" t="s">
        <v>632</v>
      </c>
      <c r="O105" s="5"/>
      <c r="P105" s="5"/>
      <c r="Q105" s="5" t="s">
        <v>55</v>
      </c>
      <c r="R105" s="9" t="s">
        <v>120</v>
      </c>
      <c r="S105" s="8" t="s">
        <v>645</v>
      </c>
      <c r="T105" s="8" t="s">
        <v>58</v>
      </c>
      <c r="U105" s="8" t="s">
        <v>645</v>
      </c>
      <c r="V105" s="5" t="s">
        <v>60</v>
      </c>
      <c r="W105" s="5"/>
    </row>
    <row r="106" spans="1:23" ht="45" x14ac:dyDescent="0.25">
      <c r="A106" s="5">
        <v>105</v>
      </c>
      <c r="B106" s="5" t="s">
        <v>19</v>
      </c>
      <c r="C106" s="5" t="s">
        <v>619</v>
      </c>
      <c r="D106" s="5" t="s">
        <v>646</v>
      </c>
      <c r="E106" s="5" t="s">
        <v>552</v>
      </c>
      <c r="F106" s="5" t="s">
        <v>72</v>
      </c>
      <c r="G106" s="5"/>
      <c r="H106" s="6"/>
      <c r="I106" s="6"/>
      <c r="J106" s="5" t="s">
        <v>51</v>
      </c>
      <c r="K106" s="5"/>
      <c r="L106" s="5"/>
      <c r="M106" s="5"/>
      <c r="N106" s="5" t="s">
        <v>647</v>
      </c>
      <c r="O106" s="5"/>
      <c r="P106" s="5"/>
      <c r="Q106" s="5" t="s">
        <v>55</v>
      </c>
      <c r="R106" s="10" t="s">
        <v>203</v>
      </c>
      <c r="S106" s="8" t="s">
        <v>617</v>
      </c>
      <c r="T106" s="8" t="s">
        <v>58</v>
      </c>
      <c r="U106" s="8" t="s">
        <v>648</v>
      </c>
      <c r="V106" s="5" t="s">
        <v>60</v>
      </c>
      <c r="W106" s="5" t="s">
        <v>649</v>
      </c>
    </row>
    <row r="107" spans="1:23" ht="45" x14ac:dyDescent="0.25">
      <c r="A107" s="5">
        <v>106</v>
      </c>
      <c r="B107" s="5" t="s">
        <v>19</v>
      </c>
      <c r="C107" s="5" t="s">
        <v>619</v>
      </c>
      <c r="D107" s="5" t="s">
        <v>650</v>
      </c>
      <c r="E107" s="5" t="s">
        <v>651</v>
      </c>
      <c r="F107" s="5" t="s">
        <v>72</v>
      </c>
      <c r="G107" s="5"/>
      <c r="H107" s="6"/>
      <c r="I107" s="6"/>
      <c r="J107" s="5" t="s">
        <v>51</v>
      </c>
      <c r="K107" s="5"/>
      <c r="L107" s="5"/>
      <c r="M107" s="5"/>
      <c r="N107" s="5" t="s">
        <v>652</v>
      </c>
      <c r="O107" s="5"/>
      <c r="P107" s="5"/>
      <c r="Q107" s="5" t="s">
        <v>55</v>
      </c>
      <c r="R107" s="9" t="s">
        <v>120</v>
      </c>
      <c r="S107" s="8" t="s">
        <v>617</v>
      </c>
      <c r="T107" s="8" t="s">
        <v>58</v>
      </c>
      <c r="U107" s="8" t="s">
        <v>653</v>
      </c>
      <c r="V107" s="5" t="s">
        <v>60</v>
      </c>
      <c r="W107" s="5"/>
    </row>
    <row r="108" spans="1:23" ht="45" x14ac:dyDescent="0.25">
      <c r="A108" s="5">
        <v>107</v>
      </c>
      <c r="B108" s="5" t="s">
        <v>19</v>
      </c>
      <c r="C108" s="5" t="s">
        <v>619</v>
      </c>
      <c r="D108" s="5" t="s">
        <v>654</v>
      </c>
      <c r="E108" s="5" t="s">
        <v>655</v>
      </c>
      <c r="F108" s="5" t="s">
        <v>72</v>
      </c>
      <c r="G108" s="5"/>
      <c r="H108" s="6"/>
      <c r="I108" s="6"/>
      <c r="J108" s="5" t="s">
        <v>51</v>
      </c>
      <c r="K108" s="5"/>
      <c r="L108" s="5"/>
      <c r="M108" s="5"/>
      <c r="N108" s="5" t="s">
        <v>656</v>
      </c>
      <c r="O108" s="5"/>
      <c r="P108" s="5"/>
      <c r="Q108" s="5" t="s">
        <v>55</v>
      </c>
      <c r="R108" s="9" t="s">
        <v>120</v>
      </c>
      <c r="S108" s="8" t="s">
        <v>617</v>
      </c>
      <c r="T108" s="8" t="s">
        <v>58</v>
      </c>
      <c r="U108" s="8" t="s">
        <v>657</v>
      </c>
      <c r="V108" s="5" t="s">
        <v>60</v>
      </c>
      <c r="W108" s="5" t="s">
        <v>658</v>
      </c>
    </row>
    <row r="109" spans="1:23" ht="30" x14ac:dyDescent="0.25">
      <c r="A109" s="5">
        <v>108</v>
      </c>
      <c r="B109" s="5" t="s">
        <v>19</v>
      </c>
      <c r="C109" s="5" t="s">
        <v>607</v>
      </c>
      <c r="D109" s="5" t="s">
        <v>659</v>
      </c>
      <c r="E109" s="5" t="s">
        <v>660</v>
      </c>
      <c r="F109" s="5" t="s">
        <v>104</v>
      </c>
      <c r="G109" s="5"/>
      <c r="H109" s="6">
        <v>13.888514499999999</v>
      </c>
      <c r="I109" s="6">
        <v>109.11295269999999</v>
      </c>
      <c r="J109" s="5" t="s">
        <v>246</v>
      </c>
      <c r="K109" s="5" t="s">
        <v>661</v>
      </c>
      <c r="L109" s="5"/>
      <c r="M109" s="5" t="s">
        <v>662</v>
      </c>
      <c r="N109" s="5"/>
      <c r="O109" s="5"/>
      <c r="P109" s="5"/>
      <c r="Q109" s="5" t="s">
        <v>109</v>
      </c>
      <c r="R109" s="7" t="s">
        <v>56</v>
      </c>
      <c r="S109" s="8" t="s">
        <v>663</v>
      </c>
      <c r="T109" s="8" t="s">
        <v>664</v>
      </c>
      <c r="U109" s="8" t="s">
        <v>665</v>
      </c>
      <c r="V109" s="5" t="s">
        <v>60</v>
      </c>
      <c r="W109" s="5"/>
    </row>
    <row r="110" spans="1:23" ht="30" x14ac:dyDescent="0.25">
      <c r="A110" s="5">
        <v>109</v>
      </c>
      <c r="B110" s="5" t="s">
        <v>19</v>
      </c>
      <c r="C110" s="5" t="s">
        <v>607</v>
      </c>
      <c r="D110" s="5" t="s">
        <v>666</v>
      </c>
      <c r="E110" s="5" t="s">
        <v>667</v>
      </c>
      <c r="F110" s="5" t="s">
        <v>104</v>
      </c>
      <c r="G110" s="5"/>
      <c r="H110" s="6"/>
      <c r="I110" s="6"/>
      <c r="J110" s="5" t="s">
        <v>105</v>
      </c>
      <c r="K110" s="5" t="s">
        <v>668</v>
      </c>
      <c r="L110" s="5" t="s">
        <v>669</v>
      </c>
      <c r="M110" s="5"/>
      <c r="N110" s="5"/>
      <c r="O110" s="5"/>
      <c r="P110" s="5" t="s">
        <v>670</v>
      </c>
      <c r="Q110" s="5" t="s">
        <v>109</v>
      </c>
      <c r="R110" s="7" t="s">
        <v>56</v>
      </c>
      <c r="S110" s="8" t="s">
        <v>671</v>
      </c>
      <c r="T110" s="8" t="s">
        <v>669</v>
      </c>
      <c r="U110" s="8" t="s">
        <v>672</v>
      </c>
      <c r="V110" s="5" t="s">
        <v>60</v>
      </c>
      <c r="W110" s="5"/>
    </row>
    <row r="111" spans="1:23" ht="45" x14ac:dyDescent="0.25">
      <c r="A111" s="5">
        <v>110</v>
      </c>
      <c r="B111" s="5" t="s">
        <v>19</v>
      </c>
      <c r="C111" s="5" t="s">
        <v>607</v>
      </c>
      <c r="D111" s="5" t="s">
        <v>673</v>
      </c>
      <c r="E111" s="5" t="s">
        <v>639</v>
      </c>
      <c r="F111" s="5" t="s">
        <v>72</v>
      </c>
      <c r="G111" s="5"/>
      <c r="H111" s="6"/>
      <c r="I111" s="6"/>
      <c r="J111" s="5" t="s">
        <v>51</v>
      </c>
      <c r="K111" s="5"/>
      <c r="L111" s="5"/>
      <c r="M111" s="5"/>
      <c r="N111" s="5" t="s">
        <v>616</v>
      </c>
      <c r="O111" s="5"/>
      <c r="P111" s="5"/>
      <c r="Q111" s="5" t="s">
        <v>55</v>
      </c>
      <c r="R111" s="9" t="s">
        <v>120</v>
      </c>
      <c r="S111" s="8" t="s">
        <v>617</v>
      </c>
      <c r="T111" s="8" t="s">
        <v>58</v>
      </c>
      <c r="U111" s="8" t="s">
        <v>674</v>
      </c>
      <c r="V111" s="5" t="s">
        <v>60</v>
      </c>
      <c r="W111" s="5"/>
    </row>
    <row r="112" spans="1:23" ht="45" x14ac:dyDescent="0.25">
      <c r="A112" s="5">
        <v>111</v>
      </c>
      <c r="B112" s="5" t="s">
        <v>19</v>
      </c>
      <c r="C112" s="5" t="s">
        <v>607</v>
      </c>
      <c r="D112" s="5" t="s">
        <v>675</v>
      </c>
      <c r="E112" s="5" t="s">
        <v>676</v>
      </c>
      <c r="F112" s="5" t="s">
        <v>72</v>
      </c>
      <c r="G112" s="5"/>
      <c r="H112" s="6"/>
      <c r="I112" s="6"/>
      <c r="J112" s="5" t="s">
        <v>51</v>
      </c>
      <c r="K112" s="5"/>
      <c r="L112" s="5"/>
      <c r="M112" s="5"/>
      <c r="N112" s="5" t="s">
        <v>616</v>
      </c>
      <c r="O112" s="5"/>
      <c r="P112" s="5"/>
      <c r="Q112" s="5" t="s">
        <v>55</v>
      </c>
      <c r="R112" s="9" t="s">
        <v>120</v>
      </c>
      <c r="S112" s="8" t="s">
        <v>617</v>
      </c>
      <c r="T112" s="8" t="s">
        <v>58</v>
      </c>
      <c r="U112" s="8" t="s">
        <v>677</v>
      </c>
      <c r="V112" s="5" t="s">
        <v>60</v>
      </c>
      <c r="W112" s="5"/>
    </row>
    <row r="113" spans="1:23" ht="45" x14ac:dyDescent="0.25">
      <c r="A113" s="5">
        <v>112</v>
      </c>
      <c r="B113" s="5" t="s">
        <v>19</v>
      </c>
      <c r="C113" s="5" t="s">
        <v>678</v>
      </c>
      <c r="D113" s="5" t="s">
        <v>679</v>
      </c>
      <c r="E113" s="5" t="s">
        <v>680</v>
      </c>
      <c r="F113" s="5" t="s">
        <v>72</v>
      </c>
      <c r="G113" s="5"/>
      <c r="H113" s="6"/>
      <c r="I113" s="6"/>
      <c r="J113" s="5" t="s">
        <v>51</v>
      </c>
      <c r="K113" s="5"/>
      <c r="L113" s="5"/>
      <c r="M113" s="5"/>
      <c r="N113" s="5" t="s">
        <v>681</v>
      </c>
      <c r="O113" s="5"/>
      <c r="P113" s="5"/>
      <c r="Q113" s="5" t="s">
        <v>55</v>
      </c>
      <c r="R113" s="9" t="s">
        <v>120</v>
      </c>
      <c r="S113" s="8" t="s">
        <v>617</v>
      </c>
      <c r="T113" s="8" t="s">
        <v>58</v>
      </c>
      <c r="U113" s="8" t="s">
        <v>682</v>
      </c>
      <c r="V113" s="5" t="s">
        <v>60</v>
      </c>
      <c r="W113" s="5"/>
    </row>
    <row r="114" spans="1:23" ht="30" x14ac:dyDescent="0.25">
      <c r="A114" s="5">
        <v>113</v>
      </c>
      <c r="B114" s="5" t="s">
        <v>19</v>
      </c>
      <c r="C114" s="5" t="s">
        <v>607</v>
      </c>
      <c r="D114" s="5" t="s">
        <v>683</v>
      </c>
      <c r="E114" s="5" t="s">
        <v>684</v>
      </c>
      <c r="F114" s="5" t="s">
        <v>104</v>
      </c>
      <c r="G114" s="5"/>
      <c r="H114" s="6"/>
      <c r="I114" s="6"/>
      <c r="J114" s="5" t="s">
        <v>105</v>
      </c>
      <c r="K114" s="5" t="s">
        <v>685</v>
      </c>
      <c r="L114" s="5"/>
      <c r="M114" s="5" t="s">
        <v>686</v>
      </c>
      <c r="N114" s="5"/>
      <c r="O114" s="5"/>
      <c r="P114" s="5"/>
      <c r="Q114" s="5" t="s">
        <v>109</v>
      </c>
      <c r="R114" s="7" t="s">
        <v>56</v>
      </c>
      <c r="S114" s="8" t="s">
        <v>687</v>
      </c>
      <c r="T114" s="8" t="s">
        <v>58</v>
      </c>
      <c r="U114" s="8" t="s">
        <v>688</v>
      </c>
      <c r="V114" s="5" t="s">
        <v>60</v>
      </c>
      <c r="W114" s="5"/>
    </row>
    <row r="115" spans="1:23" ht="45" x14ac:dyDescent="0.25">
      <c r="A115" s="5">
        <v>114</v>
      </c>
      <c r="B115" s="5" t="s">
        <v>19</v>
      </c>
      <c r="C115" s="5" t="s">
        <v>607</v>
      </c>
      <c r="D115" s="5" t="s">
        <v>689</v>
      </c>
      <c r="E115" s="5" t="s">
        <v>690</v>
      </c>
      <c r="F115" s="5" t="s">
        <v>72</v>
      </c>
      <c r="G115" s="5"/>
      <c r="H115" s="6"/>
      <c r="I115" s="6"/>
      <c r="J115" s="5" t="s">
        <v>51</v>
      </c>
      <c r="K115" s="5"/>
      <c r="L115" s="5"/>
      <c r="M115" s="5"/>
      <c r="N115" s="5" t="s">
        <v>616</v>
      </c>
      <c r="O115" s="5"/>
      <c r="P115" s="5"/>
      <c r="Q115" s="5" t="s">
        <v>55</v>
      </c>
      <c r="R115" s="9" t="s">
        <v>120</v>
      </c>
      <c r="S115" s="8" t="s">
        <v>617</v>
      </c>
      <c r="T115" s="8" t="s">
        <v>58</v>
      </c>
      <c r="U115" s="8" t="s">
        <v>691</v>
      </c>
      <c r="V115" s="5" t="s">
        <v>60</v>
      </c>
      <c r="W115" s="5"/>
    </row>
    <row r="116" spans="1:23" ht="30" x14ac:dyDescent="0.25">
      <c r="A116" s="5">
        <v>115</v>
      </c>
      <c r="B116" s="5" t="s">
        <v>19</v>
      </c>
      <c r="C116" s="5" t="s">
        <v>692</v>
      </c>
      <c r="D116" s="5" t="s">
        <v>693</v>
      </c>
      <c r="E116" s="5" t="s">
        <v>694</v>
      </c>
      <c r="F116" s="5" t="s">
        <v>104</v>
      </c>
      <c r="G116" s="5"/>
      <c r="H116" s="6">
        <v>13.882320699999999</v>
      </c>
      <c r="I116" s="6">
        <v>109.11472209999999</v>
      </c>
      <c r="J116" s="5" t="s">
        <v>246</v>
      </c>
      <c r="K116" s="5" t="s">
        <v>695</v>
      </c>
      <c r="L116" s="5"/>
      <c r="M116" s="5"/>
      <c r="N116" s="5"/>
      <c r="O116" s="5"/>
      <c r="P116" s="5"/>
      <c r="Q116" s="5" t="s">
        <v>109</v>
      </c>
      <c r="R116" s="9" t="s">
        <v>120</v>
      </c>
      <c r="S116" s="8" t="s">
        <v>696</v>
      </c>
      <c r="T116" s="8" t="s">
        <v>58</v>
      </c>
      <c r="U116" s="8" t="s">
        <v>697</v>
      </c>
      <c r="V116" s="5" t="s">
        <v>60</v>
      </c>
      <c r="W116" s="5"/>
    </row>
    <row r="117" spans="1:23" ht="45" x14ac:dyDescent="0.25">
      <c r="A117" s="5">
        <v>116</v>
      </c>
      <c r="B117" s="5" t="s">
        <v>19</v>
      </c>
      <c r="C117" s="5" t="s">
        <v>607</v>
      </c>
      <c r="D117" s="5" t="s">
        <v>698</v>
      </c>
      <c r="E117" s="5" t="s">
        <v>552</v>
      </c>
      <c r="F117" s="5" t="s">
        <v>72</v>
      </c>
      <c r="G117" s="5"/>
      <c r="H117" s="6"/>
      <c r="I117" s="6"/>
      <c r="J117" s="5" t="s">
        <v>51</v>
      </c>
      <c r="K117" s="5"/>
      <c r="L117" s="5"/>
      <c r="M117" s="5"/>
      <c r="N117" s="5" t="s">
        <v>616</v>
      </c>
      <c r="O117" s="5"/>
      <c r="P117" s="5"/>
      <c r="Q117" s="5" t="s">
        <v>55</v>
      </c>
      <c r="R117" s="10" t="s">
        <v>203</v>
      </c>
      <c r="S117" s="8" t="s">
        <v>617</v>
      </c>
      <c r="T117" s="8" t="s">
        <v>58</v>
      </c>
      <c r="U117" s="8" t="s">
        <v>699</v>
      </c>
      <c r="V117" s="5" t="s">
        <v>60</v>
      </c>
      <c r="W117" s="5" t="s">
        <v>700</v>
      </c>
    </row>
    <row r="118" spans="1:23" ht="45" x14ac:dyDescent="0.25">
      <c r="A118" s="5">
        <v>117</v>
      </c>
      <c r="B118" s="5" t="s">
        <v>19</v>
      </c>
      <c r="C118" s="5" t="s">
        <v>607</v>
      </c>
      <c r="D118" s="5" t="s">
        <v>701</v>
      </c>
      <c r="E118" s="5" t="s">
        <v>702</v>
      </c>
      <c r="F118" s="5" t="s">
        <v>72</v>
      </c>
      <c r="G118" s="5"/>
      <c r="H118" s="6"/>
      <c r="I118" s="6"/>
      <c r="J118" s="5" t="s">
        <v>51</v>
      </c>
      <c r="K118" s="5" t="s">
        <v>703</v>
      </c>
      <c r="L118" s="5"/>
      <c r="M118" s="5"/>
      <c r="N118" s="5" t="s">
        <v>616</v>
      </c>
      <c r="O118" s="5"/>
      <c r="P118" s="5"/>
      <c r="Q118" s="5" t="s">
        <v>55</v>
      </c>
      <c r="R118" s="9" t="s">
        <v>120</v>
      </c>
      <c r="S118" s="8" t="s">
        <v>617</v>
      </c>
      <c r="T118" s="8" t="s">
        <v>58</v>
      </c>
      <c r="U118" s="8" t="s">
        <v>704</v>
      </c>
      <c r="V118" s="5" t="s">
        <v>60</v>
      </c>
      <c r="W118" s="5"/>
    </row>
    <row r="119" spans="1:23" ht="30" x14ac:dyDescent="0.25">
      <c r="A119" s="5">
        <v>118</v>
      </c>
      <c r="B119" s="5" t="s">
        <v>19</v>
      </c>
      <c r="C119" s="5" t="s">
        <v>607</v>
      </c>
      <c r="D119" s="5" t="s">
        <v>705</v>
      </c>
      <c r="E119" s="5" t="s">
        <v>706</v>
      </c>
      <c r="F119" s="5" t="s">
        <v>104</v>
      </c>
      <c r="G119" s="5"/>
      <c r="H119" s="6">
        <v>13.888947399999999</v>
      </c>
      <c r="I119" s="6">
        <v>109.1148948</v>
      </c>
      <c r="J119" s="5" t="s">
        <v>246</v>
      </c>
      <c r="K119" s="5" t="s">
        <v>707</v>
      </c>
      <c r="L119" s="5" t="s">
        <v>708</v>
      </c>
      <c r="M119" s="5" t="s">
        <v>709</v>
      </c>
      <c r="N119" s="5"/>
      <c r="O119" s="5"/>
      <c r="P119" s="5" t="s">
        <v>710</v>
      </c>
      <c r="Q119" s="5" t="s">
        <v>109</v>
      </c>
      <c r="R119" s="7" t="s">
        <v>56</v>
      </c>
      <c r="S119" s="8" t="s">
        <v>711</v>
      </c>
      <c r="T119" s="8" t="s">
        <v>712</v>
      </c>
      <c r="U119" s="8" t="s">
        <v>713</v>
      </c>
      <c r="V119" s="5" t="s">
        <v>60</v>
      </c>
      <c r="W119" s="5"/>
    </row>
    <row r="120" spans="1:23" ht="45" x14ac:dyDescent="0.25">
      <c r="A120" s="5">
        <v>119</v>
      </c>
      <c r="B120" s="5" t="s">
        <v>19</v>
      </c>
      <c r="C120" s="5" t="s">
        <v>607</v>
      </c>
      <c r="D120" s="5" t="s">
        <v>714</v>
      </c>
      <c r="E120" s="5" t="s">
        <v>655</v>
      </c>
      <c r="F120" s="5" t="s">
        <v>72</v>
      </c>
      <c r="G120" s="5"/>
      <c r="H120" s="6"/>
      <c r="I120" s="6"/>
      <c r="J120" s="5" t="s">
        <v>51</v>
      </c>
      <c r="K120" s="5"/>
      <c r="L120" s="5"/>
      <c r="M120" s="5"/>
      <c r="N120" s="5" t="s">
        <v>616</v>
      </c>
      <c r="O120" s="5"/>
      <c r="P120" s="5"/>
      <c r="Q120" s="5" t="s">
        <v>55</v>
      </c>
      <c r="R120" s="9" t="s">
        <v>120</v>
      </c>
      <c r="S120" s="8" t="s">
        <v>617</v>
      </c>
      <c r="T120" s="8" t="s">
        <v>58</v>
      </c>
      <c r="U120" s="8" t="s">
        <v>715</v>
      </c>
      <c r="V120" s="5" t="s">
        <v>60</v>
      </c>
      <c r="W120" s="5" t="s">
        <v>716</v>
      </c>
    </row>
    <row r="121" spans="1:23" ht="45" x14ac:dyDescent="0.25">
      <c r="A121" s="5">
        <v>120</v>
      </c>
      <c r="B121" s="5" t="s">
        <v>20</v>
      </c>
      <c r="C121" s="5" t="s">
        <v>717</v>
      </c>
      <c r="D121" s="5" t="s">
        <v>718</v>
      </c>
      <c r="E121" s="5" t="s">
        <v>719</v>
      </c>
      <c r="F121" s="5" t="s">
        <v>72</v>
      </c>
      <c r="G121" s="5"/>
      <c r="H121" s="6"/>
      <c r="I121" s="6"/>
      <c r="J121" s="5" t="s">
        <v>51</v>
      </c>
      <c r="K121" s="5" t="s">
        <v>720</v>
      </c>
      <c r="L121" s="5"/>
      <c r="M121" s="5"/>
      <c r="N121" s="5" t="s">
        <v>721</v>
      </c>
      <c r="O121" s="5"/>
      <c r="P121" s="5"/>
      <c r="Q121" s="5" t="s">
        <v>55</v>
      </c>
      <c r="R121" s="9" t="s">
        <v>120</v>
      </c>
      <c r="S121" s="8" t="s">
        <v>722</v>
      </c>
      <c r="T121" s="8" t="s">
        <v>58</v>
      </c>
      <c r="U121" s="8" t="s">
        <v>722</v>
      </c>
      <c r="V121" s="5" t="s">
        <v>60</v>
      </c>
      <c r="W121" s="5"/>
    </row>
    <row r="122" spans="1:23" ht="30" x14ac:dyDescent="0.25">
      <c r="A122" s="5">
        <v>121</v>
      </c>
      <c r="B122" s="5" t="s">
        <v>20</v>
      </c>
      <c r="C122" s="5" t="s">
        <v>723</v>
      </c>
      <c r="D122" s="5" t="s">
        <v>724</v>
      </c>
      <c r="E122" s="5" t="s">
        <v>725</v>
      </c>
      <c r="F122" s="5" t="s">
        <v>104</v>
      </c>
      <c r="G122" s="5" t="s">
        <v>726</v>
      </c>
      <c r="H122" s="6">
        <v>13.8909375</v>
      </c>
      <c r="I122" s="6">
        <v>109.11093750000001</v>
      </c>
      <c r="J122" s="5" t="s">
        <v>727</v>
      </c>
      <c r="K122" s="5" t="s">
        <v>728</v>
      </c>
      <c r="L122" s="5"/>
      <c r="M122" s="5"/>
      <c r="N122" s="5"/>
      <c r="O122" s="5"/>
      <c r="P122" s="5"/>
      <c r="Q122" s="5" t="s">
        <v>109</v>
      </c>
      <c r="R122" s="9" t="s">
        <v>120</v>
      </c>
      <c r="S122" s="8" t="s">
        <v>729</v>
      </c>
      <c r="T122" s="8" t="s">
        <v>58</v>
      </c>
      <c r="U122" s="8" t="s">
        <v>729</v>
      </c>
      <c r="V122" s="5" t="s">
        <v>60</v>
      </c>
      <c r="W122" s="5"/>
    </row>
    <row r="123" spans="1:23" ht="45" x14ac:dyDescent="0.25">
      <c r="A123" s="5">
        <v>122</v>
      </c>
      <c r="B123" s="5" t="s">
        <v>20</v>
      </c>
      <c r="C123" s="5" t="s">
        <v>723</v>
      </c>
      <c r="D123" s="5" t="s">
        <v>730</v>
      </c>
      <c r="E123" s="5" t="s">
        <v>731</v>
      </c>
      <c r="F123" s="5" t="s">
        <v>64</v>
      </c>
      <c r="G123" s="5" t="s">
        <v>732</v>
      </c>
      <c r="H123" s="6">
        <v>13.905537499999999</v>
      </c>
      <c r="I123" s="6">
        <v>109.0177656</v>
      </c>
      <c r="J123" s="5" t="s">
        <v>733</v>
      </c>
      <c r="K123" s="5"/>
      <c r="L123" s="5"/>
      <c r="M123" s="5" t="s">
        <v>734</v>
      </c>
      <c r="N123" s="5" t="s">
        <v>735</v>
      </c>
      <c r="O123" s="5"/>
      <c r="P123" s="5"/>
      <c r="Q123" s="5" t="s">
        <v>55</v>
      </c>
      <c r="R123" s="9" t="s">
        <v>120</v>
      </c>
      <c r="S123" s="8" t="s">
        <v>736</v>
      </c>
      <c r="T123" s="8" t="s">
        <v>58</v>
      </c>
      <c r="U123" s="8" t="s">
        <v>736</v>
      </c>
      <c r="V123" s="5" t="s">
        <v>60</v>
      </c>
      <c r="W123" s="5"/>
    </row>
    <row r="124" spans="1:23" ht="30" x14ac:dyDescent="0.25">
      <c r="A124" s="5">
        <v>123</v>
      </c>
      <c r="B124" s="5" t="s">
        <v>20</v>
      </c>
      <c r="C124" s="5" t="s">
        <v>723</v>
      </c>
      <c r="D124" s="5" t="s">
        <v>737</v>
      </c>
      <c r="E124" s="5" t="s">
        <v>738</v>
      </c>
      <c r="F124" s="5" t="s">
        <v>92</v>
      </c>
      <c r="G124" s="5" t="s">
        <v>739</v>
      </c>
      <c r="H124" s="6">
        <v>13.8925375</v>
      </c>
      <c r="I124" s="6">
        <v>109.06167189999999</v>
      </c>
      <c r="J124" s="5" t="s">
        <v>740</v>
      </c>
      <c r="K124" s="5"/>
      <c r="L124" s="5"/>
      <c r="M124" s="5"/>
      <c r="N124" s="5"/>
      <c r="O124" s="5"/>
      <c r="P124" s="5"/>
      <c r="Q124" s="5" t="s">
        <v>741</v>
      </c>
      <c r="R124" s="9" t="s">
        <v>120</v>
      </c>
      <c r="S124" s="8" t="s">
        <v>742</v>
      </c>
      <c r="T124" s="8" t="s">
        <v>58</v>
      </c>
      <c r="U124" s="8" t="s">
        <v>742</v>
      </c>
      <c r="V124" s="5" t="s">
        <v>60</v>
      </c>
      <c r="W124" s="5"/>
    </row>
    <row r="125" spans="1:23" ht="30" x14ac:dyDescent="0.25">
      <c r="A125" s="5">
        <v>124</v>
      </c>
      <c r="B125" s="5" t="s">
        <v>20</v>
      </c>
      <c r="C125" s="5" t="s">
        <v>743</v>
      </c>
      <c r="D125" s="5" t="s">
        <v>744</v>
      </c>
      <c r="E125" s="5" t="s">
        <v>745</v>
      </c>
      <c r="F125" s="5" t="s">
        <v>104</v>
      </c>
      <c r="G125" s="5" t="s">
        <v>746</v>
      </c>
      <c r="H125" s="6">
        <v>13.890212500000001</v>
      </c>
      <c r="I125" s="6">
        <v>109.11557809999999</v>
      </c>
      <c r="J125" s="5" t="s">
        <v>747</v>
      </c>
      <c r="K125" s="5" t="s">
        <v>748</v>
      </c>
      <c r="L125" s="5"/>
      <c r="M125" s="5" t="s">
        <v>749</v>
      </c>
      <c r="N125" s="5"/>
      <c r="O125" s="5"/>
      <c r="P125" s="5"/>
      <c r="Q125" s="5" t="s">
        <v>109</v>
      </c>
      <c r="R125" s="9" t="s">
        <v>120</v>
      </c>
      <c r="S125" s="8" t="s">
        <v>750</v>
      </c>
      <c r="T125" s="8" t="s">
        <v>58</v>
      </c>
      <c r="U125" s="8" t="s">
        <v>750</v>
      </c>
      <c r="V125" s="5" t="s">
        <v>60</v>
      </c>
      <c r="W125" s="5"/>
    </row>
    <row r="126" spans="1:23" ht="30" x14ac:dyDescent="0.25">
      <c r="A126" s="5">
        <v>125</v>
      </c>
      <c r="B126" s="5" t="s">
        <v>20</v>
      </c>
      <c r="C126" s="5" t="s">
        <v>743</v>
      </c>
      <c r="D126" s="5" t="s">
        <v>751</v>
      </c>
      <c r="E126" s="5" t="s">
        <v>752</v>
      </c>
      <c r="F126" s="5" t="s">
        <v>104</v>
      </c>
      <c r="G126" s="5" t="s">
        <v>753</v>
      </c>
      <c r="H126" s="6">
        <v>13.8860125</v>
      </c>
      <c r="I126" s="6">
        <v>109.12276559999999</v>
      </c>
      <c r="J126" s="5" t="s">
        <v>754</v>
      </c>
      <c r="K126" s="5" t="s">
        <v>755</v>
      </c>
      <c r="L126" s="5"/>
      <c r="M126" s="5" t="s">
        <v>756</v>
      </c>
      <c r="N126" s="5"/>
      <c r="O126" s="5"/>
      <c r="P126" s="5"/>
      <c r="Q126" s="5" t="s">
        <v>109</v>
      </c>
      <c r="R126" s="9" t="s">
        <v>120</v>
      </c>
      <c r="S126" s="8" t="s">
        <v>757</v>
      </c>
      <c r="T126" s="8" t="s">
        <v>58</v>
      </c>
      <c r="U126" s="8" t="s">
        <v>757</v>
      </c>
      <c r="V126" s="5" t="s">
        <v>60</v>
      </c>
      <c r="W126" s="5"/>
    </row>
    <row r="127" spans="1:23" ht="45" x14ac:dyDescent="0.25">
      <c r="A127" s="5">
        <v>126</v>
      </c>
      <c r="B127" s="5" t="s">
        <v>20</v>
      </c>
      <c r="C127" s="5" t="s">
        <v>758</v>
      </c>
      <c r="D127" s="5" t="s">
        <v>759</v>
      </c>
      <c r="E127" s="5" t="s">
        <v>760</v>
      </c>
      <c r="F127" s="5" t="s">
        <v>72</v>
      </c>
      <c r="G127" s="5" t="s">
        <v>761</v>
      </c>
      <c r="H127" s="6">
        <v>13.8895625</v>
      </c>
      <c r="I127" s="6">
        <v>109.1127656</v>
      </c>
      <c r="J127" s="5" t="s">
        <v>762</v>
      </c>
      <c r="K127" s="5"/>
      <c r="L127" s="5"/>
      <c r="M127" s="5"/>
      <c r="N127" s="5" t="s">
        <v>763</v>
      </c>
      <c r="O127" s="5"/>
      <c r="P127" s="5"/>
      <c r="Q127" s="5" t="s">
        <v>55</v>
      </c>
      <c r="R127" s="9" t="s">
        <v>120</v>
      </c>
      <c r="S127" s="8" t="s">
        <v>764</v>
      </c>
      <c r="T127" s="8" t="s">
        <v>58</v>
      </c>
      <c r="U127" s="8" t="s">
        <v>764</v>
      </c>
      <c r="V127" s="5" t="s">
        <v>60</v>
      </c>
      <c r="W127" s="5"/>
    </row>
    <row r="128" spans="1:23" ht="45" x14ac:dyDescent="0.25">
      <c r="A128" s="5">
        <v>127</v>
      </c>
      <c r="B128" s="5" t="s">
        <v>20</v>
      </c>
      <c r="C128" s="5" t="s">
        <v>765</v>
      </c>
      <c r="D128" s="5" t="s">
        <v>766</v>
      </c>
      <c r="E128" s="5" t="s">
        <v>767</v>
      </c>
      <c r="F128" s="5" t="s">
        <v>72</v>
      </c>
      <c r="G128" s="5"/>
      <c r="H128" s="6"/>
      <c r="I128" s="6"/>
      <c r="J128" s="5" t="s">
        <v>51</v>
      </c>
      <c r="K128" s="5"/>
      <c r="L128" s="5"/>
      <c r="M128" s="5"/>
      <c r="N128" s="5" t="s">
        <v>768</v>
      </c>
      <c r="O128" s="5"/>
      <c r="P128" s="5"/>
      <c r="Q128" s="5" t="s">
        <v>55</v>
      </c>
      <c r="R128" s="9" t="s">
        <v>120</v>
      </c>
      <c r="S128" s="8" t="s">
        <v>769</v>
      </c>
      <c r="T128" s="8" t="s">
        <v>58</v>
      </c>
      <c r="U128" s="8" t="s">
        <v>769</v>
      </c>
      <c r="V128" s="5" t="s">
        <v>60</v>
      </c>
      <c r="W128" s="5"/>
    </row>
    <row r="129" spans="1:23" ht="45" x14ac:dyDescent="0.25">
      <c r="A129" s="5">
        <v>128</v>
      </c>
      <c r="B129" s="5" t="s">
        <v>21</v>
      </c>
      <c r="C129" s="5" t="s">
        <v>770</v>
      </c>
      <c r="D129" s="5" t="s">
        <v>771</v>
      </c>
      <c r="E129" s="5" t="s">
        <v>772</v>
      </c>
      <c r="F129" s="5" t="s">
        <v>104</v>
      </c>
      <c r="G129" s="5"/>
      <c r="H129" s="6"/>
      <c r="I129" s="6"/>
      <c r="J129" s="5" t="s">
        <v>105</v>
      </c>
      <c r="K129" s="5" t="s">
        <v>773</v>
      </c>
      <c r="L129" s="5"/>
      <c r="M129" s="5" t="s">
        <v>774</v>
      </c>
      <c r="N129" s="5"/>
      <c r="O129" s="5"/>
      <c r="P129" s="5" t="s">
        <v>775</v>
      </c>
      <c r="Q129" s="5" t="s">
        <v>109</v>
      </c>
      <c r="R129" s="9" t="s">
        <v>120</v>
      </c>
      <c r="S129" s="8" t="s">
        <v>776</v>
      </c>
      <c r="T129" s="8" t="s">
        <v>58</v>
      </c>
      <c r="U129" s="8" t="s">
        <v>776</v>
      </c>
      <c r="V129" s="5" t="s">
        <v>60</v>
      </c>
      <c r="W129" s="5"/>
    </row>
    <row r="130" spans="1:23" ht="30" x14ac:dyDescent="0.25">
      <c r="A130" s="5">
        <v>129</v>
      </c>
      <c r="B130" s="5" t="s">
        <v>21</v>
      </c>
      <c r="C130" s="5" t="s">
        <v>770</v>
      </c>
      <c r="D130" s="5" t="s">
        <v>777</v>
      </c>
      <c r="E130" s="5" t="s">
        <v>778</v>
      </c>
      <c r="F130" s="5" t="s">
        <v>64</v>
      </c>
      <c r="G130" s="5"/>
      <c r="H130" s="6"/>
      <c r="I130" s="6"/>
      <c r="J130" s="5" t="s">
        <v>105</v>
      </c>
      <c r="K130" s="5" t="s">
        <v>779</v>
      </c>
      <c r="L130" s="5"/>
      <c r="M130" s="5" t="s">
        <v>780</v>
      </c>
      <c r="N130" s="5"/>
      <c r="O130" s="5"/>
      <c r="P130" s="5"/>
      <c r="Q130" s="5" t="s">
        <v>781</v>
      </c>
      <c r="R130" s="9" t="s">
        <v>120</v>
      </c>
      <c r="S130" s="8" t="s">
        <v>782</v>
      </c>
      <c r="T130" s="8" t="s">
        <v>58</v>
      </c>
      <c r="U130" s="8" t="s">
        <v>782</v>
      </c>
      <c r="V130" s="5" t="s">
        <v>60</v>
      </c>
      <c r="W130" s="5"/>
    </row>
    <row r="131" spans="1:23" ht="30" x14ac:dyDescent="0.25">
      <c r="A131" s="5">
        <v>130</v>
      </c>
      <c r="B131" s="5" t="s">
        <v>21</v>
      </c>
      <c r="C131" s="5" t="s">
        <v>783</v>
      </c>
      <c r="D131" s="5" t="s">
        <v>784</v>
      </c>
      <c r="E131" s="5" t="s">
        <v>785</v>
      </c>
      <c r="F131" s="5" t="s">
        <v>104</v>
      </c>
      <c r="G131" s="5" t="s">
        <v>786</v>
      </c>
      <c r="H131" s="6">
        <v>13.886912499999999</v>
      </c>
      <c r="I131" s="6">
        <v>109.1212656</v>
      </c>
      <c r="J131" s="5" t="s">
        <v>787</v>
      </c>
      <c r="K131" s="5" t="s">
        <v>788</v>
      </c>
      <c r="L131" s="5"/>
      <c r="M131" s="5"/>
      <c r="N131" s="5"/>
      <c r="O131" s="5"/>
      <c r="P131" s="5"/>
      <c r="Q131" s="5" t="s">
        <v>109</v>
      </c>
      <c r="R131" s="9" t="s">
        <v>120</v>
      </c>
      <c r="S131" s="8" t="s">
        <v>789</v>
      </c>
      <c r="T131" s="8" t="s">
        <v>58</v>
      </c>
      <c r="U131" s="8" t="s">
        <v>789</v>
      </c>
      <c r="V131" s="5" t="s">
        <v>60</v>
      </c>
      <c r="W131" s="5"/>
    </row>
    <row r="132" spans="1:23" ht="30" x14ac:dyDescent="0.25">
      <c r="A132" s="5">
        <v>131</v>
      </c>
      <c r="B132" s="5" t="s">
        <v>21</v>
      </c>
      <c r="C132" s="5" t="s">
        <v>790</v>
      </c>
      <c r="D132" s="5" t="s">
        <v>791</v>
      </c>
      <c r="E132" s="5" t="s">
        <v>792</v>
      </c>
      <c r="F132" s="5" t="s">
        <v>104</v>
      </c>
      <c r="G132" s="5" t="s">
        <v>793</v>
      </c>
      <c r="H132" s="6">
        <v>13.889362500000001</v>
      </c>
      <c r="I132" s="6">
        <v>109.1189844</v>
      </c>
      <c r="J132" s="5" t="s">
        <v>794</v>
      </c>
      <c r="K132" s="5" t="s">
        <v>795</v>
      </c>
      <c r="L132" s="5"/>
      <c r="M132" s="5"/>
      <c r="N132" s="5"/>
      <c r="O132" s="5"/>
      <c r="P132" s="5"/>
      <c r="Q132" s="5" t="s">
        <v>109</v>
      </c>
      <c r="R132" s="9" t="s">
        <v>120</v>
      </c>
      <c r="S132" s="8" t="s">
        <v>796</v>
      </c>
      <c r="T132" s="8" t="s">
        <v>58</v>
      </c>
      <c r="U132" s="8" t="s">
        <v>796</v>
      </c>
      <c r="V132" s="5" t="s">
        <v>60</v>
      </c>
      <c r="W132" s="5"/>
    </row>
    <row r="133" spans="1:23" ht="45" x14ac:dyDescent="0.25">
      <c r="A133" s="5">
        <v>132</v>
      </c>
      <c r="B133" s="5" t="s">
        <v>21</v>
      </c>
      <c r="C133" s="5" t="s">
        <v>797</v>
      </c>
      <c r="D133" s="5" t="s">
        <v>798</v>
      </c>
      <c r="E133" s="5" t="s">
        <v>799</v>
      </c>
      <c r="F133" s="5" t="s">
        <v>72</v>
      </c>
      <c r="G133" s="5"/>
      <c r="H133" s="6"/>
      <c r="I133" s="6"/>
      <c r="J133" s="5" t="s">
        <v>51</v>
      </c>
      <c r="K133" s="5" t="s">
        <v>800</v>
      </c>
      <c r="L133" s="5"/>
      <c r="M133" s="5"/>
      <c r="N133" s="5" t="s">
        <v>801</v>
      </c>
      <c r="O133" s="5"/>
      <c r="P133" s="5"/>
      <c r="Q133" s="5" t="s">
        <v>55</v>
      </c>
      <c r="R133" s="9" t="s">
        <v>120</v>
      </c>
      <c r="S133" s="8" t="s">
        <v>802</v>
      </c>
      <c r="T133" s="8" t="s">
        <v>58</v>
      </c>
      <c r="U133" s="8" t="s">
        <v>802</v>
      </c>
      <c r="V133" s="5" t="s">
        <v>60</v>
      </c>
      <c r="W133" s="5"/>
    </row>
    <row r="134" spans="1:23" ht="45" x14ac:dyDescent="0.25">
      <c r="A134" s="5">
        <v>133</v>
      </c>
      <c r="B134" s="5" t="s">
        <v>21</v>
      </c>
      <c r="C134" s="5" t="s">
        <v>797</v>
      </c>
      <c r="D134" s="5" t="s">
        <v>803</v>
      </c>
      <c r="E134" s="5" t="s">
        <v>804</v>
      </c>
      <c r="F134" s="5" t="s">
        <v>72</v>
      </c>
      <c r="G134" s="5"/>
      <c r="H134" s="6"/>
      <c r="I134" s="6"/>
      <c r="J134" s="5" t="s">
        <v>51</v>
      </c>
      <c r="K134" s="5" t="s">
        <v>805</v>
      </c>
      <c r="L134" s="5"/>
      <c r="M134" s="5"/>
      <c r="N134" s="5" t="s">
        <v>806</v>
      </c>
      <c r="O134" s="5"/>
      <c r="P134" s="5"/>
      <c r="Q134" s="5" t="s">
        <v>55</v>
      </c>
      <c r="R134" s="9" t="s">
        <v>120</v>
      </c>
      <c r="S134" s="8" t="s">
        <v>807</v>
      </c>
      <c r="T134" s="8" t="s">
        <v>58</v>
      </c>
      <c r="U134" s="8" t="s">
        <v>807</v>
      </c>
      <c r="V134" s="5" t="s">
        <v>60</v>
      </c>
      <c r="W134" s="5"/>
    </row>
    <row r="135" spans="1:23" ht="30" x14ac:dyDescent="0.25">
      <c r="A135" s="5">
        <v>134</v>
      </c>
      <c r="B135" s="5" t="s">
        <v>22</v>
      </c>
      <c r="C135" s="5" t="s">
        <v>808</v>
      </c>
      <c r="D135" s="5" t="s">
        <v>809</v>
      </c>
      <c r="E135" s="5" t="s">
        <v>810</v>
      </c>
      <c r="F135" s="5" t="s">
        <v>104</v>
      </c>
      <c r="G135" s="5"/>
      <c r="H135" s="6"/>
      <c r="I135" s="6"/>
      <c r="J135" s="5" t="s">
        <v>105</v>
      </c>
      <c r="K135" s="5"/>
      <c r="L135" s="5"/>
      <c r="M135" s="5"/>
      <c r="N135" s="5"/>
      <c r="O135" s="5"/>
      <c r="P135" s="5"/>
      <c r="Q135" s="5" t="s">
        <v>109</v>
      </c>
      <c r="R135" s="7" t="s">
        <v>56</v>
      </c>
      <c r="S135" s="8" t="s">
        <v>811</v>
      </c>
      <c r="T135" s="8" t="s">
        <v>812</v>
      </c>
      <c r="U135" s="8" t="s">
        <v>813</v>
      </c>
      <c r="V135" s="5" t="s">
        <v>60</v>
      </c>
      <c r="W135" s="5"/>
    </row>
    <row r="136" spans="1:23" ht="30" x14ac:dyDescent="0.25">
      <c r="A136" s="5">
        <v>135</v>
      </c>
      <c r="B136" s="5" t="s">
        <v>22</v>
      </c>
      <c r="C136" s="5" t="s">
        <v>814</v>
      </c>
      <c r="D136" s="5" t="s">
        <v>815</v>
      </c>
      <c r="E136" s="5" t="s">
        <v>816</v>
      </c>
      <c r="F136" s="5" t="s">
        <v>104</v>
      </c>
      <c r="G136" s="5"/>
      <c r="H136" s="6"/>
      <c r="I136" s="6"/>
      <c r="J136" s="5" t="s">
        <v>105</v>
      </c>
      <c r="K136" s="5"/>
      <c r="L136" s="5"/>
      <c r="M136" s="5"/>
      <c r="N136" s="5"/>
      <c r="O136" s="5"/>
      <c r="P136" s="5"/>
      <c r="Q136" s="5" t="s">
        <v>109</v>
      </c>
      <c r="R136" s="7" t="s">
        <v>56</v>
      </c>
      <c r="S136" s="8" t="s">
        <v>811</v>
      </c>
      <c r="T136" s="8" t="s">
        <v>812</v>
      </c>
      <c r="U136" s="8" t="s">
        <v>817</v>
      </c>
      <c r="V136" s="5" t="s">
        <v>60</v>
      </c>
      <c r="W136" s="5"/>
    </row>
    <row r="137" spans="1:23" ht="30" x14ac:dyDescent="0.25">
      <c r="A137" s="5">
        <v>136</v>
      </c>
      <c r="B137" s="5" t="s">
        <v>22</v>
      </c>
      <c r="C137" s="5" t="s">
        <v>818</v>
      </c>
      <c r="D137" s="5" t="s">
        <v>819</v>
      </c>
      <c r="E137" s="5" t="s">
        <v>820</v>
      </c>
      <c r="F137" s="5" t="s">
        <v>104</v>
      </c>
      <c r="G137" s="5" t="s">
        <v>821</v>
      </c>
      <c r="H137" s="6">
        <v>13.8867125</v>
      </c>
      <c r="I137" s="6">
        <v>109.1098594</v>
      </c>
      <c r="J137" s="5" t="s">
        <v>822</v>
      </c>
      <c r="K137" s="5"/>
      <c r="L137" s="5"/>
      <c r="M137" s="5"/>
      <c r="N137" s="5"/>
      <c r="O137" s="5"/>
      <c r="P137" s="5"/>
      <c r="Q137" s="5" t="s">
        <v>109</v>
      </c>
      <c r="R137" s="9" t="s">
        <v>120</v>
      </c>
      <c r="S137" s="8" t="s">
        <v>823</v>
      </c>
      <c r="T137" s="8" t="s">
        <v>58</v>
      </c>
      <c r="U137" s="8" t="s">
        <v>823</v>
      </c>
      <c r="V137" s="5" t="s">
        <v>60</v>
      </c>
      <c r="W137" s="5"/>
    </row>
    <row r="138" spans="1:23" ht="45" x14ac:dyDescent="0.25">
      <c r="A138" s="5">
        <v>137</v>
      </c>
      <c r="B138" s="5" t="s">
        <v>22</v>
      </c>
      <c r="C138" s="5" t="s">
        <v>824</v>
      </c>
      <c r="D138" s="5" t="s">
        <v>825</v>
      </c>
      <c r="E138" s="5" t="s">
        <v>826</v>
      </c>
      <c r="F138" s="5" t="s">
        <v>64</v>
      </c>
      <c r="G138" s="5" t="s">
        <v>827</v>
      </c>
      <c r="H138" s="6">
        <v>13.906012499999999</v>
      </c>
      <c r="I138" s="6">
        <v>109.0199844</v>
      </c>
      <c r="J138" s="5" t="s">
        <v>828</v>
      </c>
      <c r="K138" s="5"/>
      <c r="L138" s="5"/>
      <c r="M138" s="5"/>
      <c r="N138" s="5" t="s">
        <v>829</v>
      </c>
      <c r="O138" s="5"/>
      <c r="P138" s="5"/>
      <c r="Q138" s="5" t="s">
        <v>55</v>
      </c>
      <c r="R138" s="10" t="s">
        <v>203</v>
      </c>
      <c r="S138" s="8" t="s">
        <v>830</v>
      </c>
      <c r="T138" s="8" t="s">
        <v>58</v>
      </c>
      <c r="U138" s="8" t="s">
        <v>830</v>
      </c>
      <c r="V138" s="5" t="s">
        <v>60</v>
      </c>
      <c r="W138" s="5" t="s">
        <v>831</v>
      </c>
    </row>
    <row r="139" spans="1:23" ht="45" x14ac:dyDescent="0.25">
      <c r="A139" s="5">
        <v>138</v>
      </c>
      <c r="B139" s="5" t="s">
        <v>22</v>
      </c>
      <c r="C139" s="5" t="s">
        <v>832</v>
      </c>
      <c r="D139" s="5" t="s">
        <v>833</v>
      </c>
      <c r="E139" s="5" t="s">
        <v>834</v>
      </c>
      <c r="F139" s="5" t="s">
        <v>72</v>
      </c>
      <c r="G139" s="5"/>
      <c r="H139" s="6"/>
      <c r="I139" s="6"/>
      <c r="J139" s="5" t="s">
        <v>51</v>
      </c>
      <c r="K139" s="5" t="s">
        <v>835</v>
      </c>
      <c r="L139" s="5"/>
      <c r="M139" s="5"/>
      <c r="N139" s="5" t="s">
        <v>836</v>
      </c>
      <c r="O139" s="5"/>
      <c r="P139" s="5"/>
      <c r="Q139" s="5" t="s">
        <v>55</v>
      </c>
      <c r="R139" s="10" t="s">
        <v>203</v>
      </c>
      <c r="S139" s="8" t="s">
        <v>837</v>
      </c>
      <c r="T139" s="8" t="s">
        <v>58</v>
      </c>
      <c r="U139" s="8" t="s">
        <v>837</v>
      </c>
      <c r="V139" s="5" t="s">
        <v>60</v>
      </c>
      <c r="W139" s="5" t="s">
        <v>838</v>
      </c>
    </row>
    <row r="140" spans="1:23" ht="30" x14ac:dyDescent="0.25">
      <c r="A140" s="5">
        <v>139</v>
      </c>
      <c r="B140" s="5" t="s">
        <v>22</v>
      </c>
      <c r="C140" s="5" t="s">
        <v>839</v>
      </c>
      <c r="D140" s="5" t="s">
        <v>840</v>
      </c>
      <c r="E140" s="5" t="s">
        <v>841</v>
      </c>
      <c r="F140" s="5" t="s">
        <v>104</v>
      </c>
      <c r="G140" s="5"/>
      <c r="H140" s="6"/>
      <c r="I140" s="6"/>
      <c r="J140" s="5" t="s">
        <v>105</v>
      </c>
      <c r="K140" s="5"/>
      <c r="L140" s="5"/>
      <c r="M140" s="5"/>
      <c r="N140" s="5"/>
      <c r="O140" s="5"/>
      <c r="P140" s="5" t="s">
        <v>842</v>
      </c>
      <c r="Q140" s="5" t="s">
        <v>109</v>
      </c>
      <c r="R140" s="7" t="s">
        <v>56</v>
      </c>
      <c r="S140" s="8" t="s">
        <v>843</v>
      </c>
      <c r="T140" s="8" t="s">
        <v>844</v>
      </c>
      <c r="U140" s="8" t="s">
        <v>844</v>
      </c>
      <c r="V140" s="5" t="s">
        <v>60</v>
      </c>
      <c r="W140" s="5"/>
    </row>
    <row r="141" spans="1:23" ht="30" x14ac:dyDescent="0.25">
      <c r="A141" s="5">
        <v>140</v>
      </c>
      <c r="B141" s="5" t="s">
        <v>22</v>
      </c>
      <c r="C141" s="5" t="s">
        <v>845</v>
      </c>
      <c r="D141" s="5" t="s">
        <v>846</v>
      </c>
      <c r="E141" s="5" t="s">
        <v>847</v>
      </c>
      <c r="F141" s="5" t="s">
        <v>104</v>
      </c>
      <c r="G141" s="5"/>
      <c r="H141" s="6"/>
      <c r="I141" s="6"/>
      <c r="J141" s="5" t="s">
        <v>105</v>
      </c>
      <c r="K141" s="5"/>
      <c r="L141" s="5"/>
      <c r="M141" s="5"/>
      <c r="N141" s="5"/>
      <c r="O141" s="5"/>
      <c r="P141" s="5"/>
      <c r="Q141" s="5" t="s">
        <v>109</v>
      </c>
      <c r="R141" s="7" t="s">
        <v>56</v>
      </c>
      <c r="S141" s="8" t="s">
        <v>811</v>
      </c>
      <c r="T141" s="8" t="s">
        <v>812</v>
      </c>
      <c r="U141" s="8" t="s">
        <v>848</v>
      </c>
      <c r="V141" s="5" t="s">
        <v>60</v>
      </c>
      <c r="W141" s="5"/>
    </row>
    <row r="142" spans="1:23" ht="45" x14ac:dyDescent="0.25">
      <c r="A142" s="5">
        <v>141</v>
      </c>
      <c r="B142" s="5" t="s">
        <v>22</v>
      </c>
      <c r="C142" s="5" t="s">
        <v>849</v>
      </c>
      <c r="D142" s="5" t="s">
        <v>850</v>
      </c>
      <c r="E142" s="5" t="s">
        <v>851</v>
      </c>
      <c r="F142" s="5" t="s">
        <v>72</v>
      </c>
      <c r="G142" s="5"/>
      <c r="H142" s="6"/>
      <c r="I142" s="6"/>
      <c r="J142" s="5" t="s">
        <v>51</v>
      </c>
      <c r="K142" s="5" t="s">
        <v>852</v>
      </c>
      <c r="L142" s="5"/>
      <c r="M142" s="5"/>
      <c r="N142" s="5" t="s">
        <v>853</v>
      </c>
      <c r="O142" s="5"/>
      <c r="P142" s="5"/>
      <c r="Q142" s="5" t="s">
        <v>55</v>
      </c>
      <c r="R142" s="9" t="s">
        <v>120</v>
      </c>
      <c r="S142" s="8" t="s">
        <v>854</v>
      </c>
      <c r="T142" s="8" t="s">
        <v>58</v>
      </c>
      <c r="U142" s="8" t="s">
        <v>854</v>
      </c>
      <c r="V142" s="5" t="s">
        <v>60</v>
      </c>
      <c r="W142" s="5" t="s">
        <v>855</v>
      </c>
    </row>
    <row r="143" spans="1:23" ht="45" x14ac:dyDescent="0.25">
      <c r="A143" s="5">
        <v>142</v>
      </c>
      <c r="B143" s="5" t="s">
        <v>22</v>
      </c>
      <c r="C143" s="5" t="s">
        <v>856</v>
      </c>
      <c r="D143" s="5" t="s">
        <v>857</v>
      </c>
      <c r="E143" s="5" t="s">
        <v>858</v>
      </c>
      <c r="F143" s="5" t="s">
        <v>64</v>
      </c>
      <c r="G143" s="5"/>
      <c r="H143" s="6"/>
      <c r="I143" s="6"/>
      <c r="J143" s="5" t="s">
        <v>51</v>
      </c>
      <c r="K143" s="5"/>
      <c r="L143" s="5"/>
      <c r="M143" s="5"/>
      <c r="N143" s="5" t="s">
        <v>859</v>
      </c>
      <c r="O143" s="5"/>
      <c r="P143" s="5"/>
      <c r="Q143" s="5" t="s">
        <v>55</v>
      </c>
      <c r="R143" s="7" t="s">
        <v>56</v>
      </c>
      <c r="S143" s="8" t="s">
        <v>215</v>
      </c>
      <c r="T143" s="8" t="s">
        <v>58</v>
      </c>
      <c r="U143" s="8" t="s">
        <v>860</v>
      </c>
      <c r="V143" s="5" t="s">
        <v>60</v>
      </c>
      <c r="W143" s="5"/>
    </row>
    <row r="144" spans="1:23" ht="30" x14ac:dyDescent="0.25">
      <c r="A144" s="5">
        <v>143</v>
      </c>
      <c r="B144" s="5" t="s">
        <v>22</v>
      </c>
      <c r="C144" s="5" t="s">
        <v>861</v>
      </c>
      <c r="D144" s="5" t="s">
        <v>862</v>
      </c>
      <c r="E144" s="5" t="s">
        <v>863</v>
      </c>
      <c r="F144" s="5" t="s">
        <v>104</v>
      </c>
      <c r="G144" s="5"/>
      <c r="H144" s="6"/>
      <c r="I144" s="6"/>
      <c r="J144" s="5" t="s">
        <v>105</v>
      </c>
      <c r="K144" s="5"/>
      <c r="L144" s="5"/>
      <c r="M144" s="5"/>
      <c r="N144" s="5"/>
      <c r="O144" s="5"/>
      <c r="P144" s="5"/>
      <c r="Q144" s="5" t="s">
        <v>109</v>
      </c>
      <c r="R144" s="7" t="s">
        <v>56</v>
      </c>
      <c r="S144" s="8" t="s">
        <v>811</v>
      </c>
      <c r="T144" s="8" t="s">
        <v>812</v>
      </c>
      <c r="U144" s="8" t="s">
        <v>864</v>
      </c>
      <c r="V144" s="5" t="s">
        <v>60</v>
      </c>
      <c r="W144" s="5"/>
    </row>
    <row r="145" spans="1:23" ht="30" x14ac:dyDescent="0.25">
      <c r="A145" s="5">
        <v>144</v>
      </c>
      <c r="B145" s="5" t="s">
        <v>22</v>
      </c>
      <c r="C145" s="5" t="s">
        <v>865</v>
      </c>
      <c r="D145" s="5" t="s">
        <v>866</v>
      </c>
      <c r="E145" s="5" t="s">
        <v>867</v>
      </c>
      <c r="F145" s="5" t="s">
        <v>104</v>
      </c>
      <c r="G145" s="5"/>
      <c r="H145" s="6"/>
      <c r="I145" s="6"/>
      <c r="J145" s="5" t="s">
        <v>105</v>
      </c>
      <c r="K145" s="5"/>
      <c r="L145" s="5"/>
      <c r="M145" s="5"/>
      <c r="N145" s="5"/>
      <c r="O145" s="5"/>
      <c r="P145" s="5" t="s">
        <v>868</v>
      </c>
      <c r="Q145" s="5" t="s">
        <v>109</v>
      </c>
      <c r="R145" s="7" t="s">
        <v>56</v>
      </c>
      <c r="S145" s="8" t="s">
        <v>811</v>
      </c>
      <c r="T145" s="8" t="s">
        <v>812</v>
      </c>
      <c r="U145" s="8" t="s">
        <v>869</v>
      </c>
      <c r="V145" s="5" t="s">
        <v>60</v>
      </c>
      <c r="W145" s="5"/>
    </row>
    <row r="146" spans="1:23" ht="30" x14ac:dyDescent="0.25">
      <c r="A146" s="5">
        <v>145</v>
      </c>
      <c r="B146" s="5" t="s">
        <v>22</v>
      </c>
      <c r="C146" s="5" t="s">
        <v>870</v>
      </c>
      <c r="D146" s="5" t="s">
        <v>871</v>
      </c>
      <c r="E146" s="5" t="s">
        <v>872</v>
      </c>
      <c r="F146" s="5" t="s">
        <v>104</v>
      </c>
      <c r="G146" s="5" t="s">
        <v>873</v>
      </c>
      <c r="H146" s="6">
        <v>13.886912499999999</v>
      </c>
      <c r="I146" s="6">
        <v>109.10901560000001</v>
      </c>
      <c r="J146" s="5" t="s">
        <v>874</v>
      </c>
      <c r="K146" s="5"/>
      <c r="L146" s="5" t="s">
        <v>812</v>
      </c>
      <c r="M146" s="5" t="s">
        <v>875</v>
      </c>
      <c r="N146" s="5"/>
      <c r="O146" s="5"/>
      <c r="P146" s="5" t="s">
        <v>876</v>
      </c>
      <c r="Q146" s="5" t="s">
        <v>109</v>
      </c>
      <c r="R146" s="7" t="s">
        <v>56</v>
      </c>
      <c r="S146" s="8" t="s">
        <v>812</v>
      </c>
      <c r="T146" s="8" t="s">
        <v>811</v>
      </c>
      <c r="U146" s="8" t="s">
        <v>877</v>
      </c>
      <c r="V146" s="5" t="s">
        <v>60</v>
      </c>
      <c r="W146" s="5"/>
    </row>
    <row r="147" spans="1:23" ht="30" x14ac:dyDescent="0.25">
      <c r="A147" s="5">
        <v>146</v>
      </c>
      <c r="B147" s="5" t="s">
        <v>22</v>
      </c>
      <c r="C147" s="5" t="s">
        <v>878</v>
      </c>
      <c r="D147" s="5" t="s">
        <v>879</v>
      </c>
      <c r="E147" s="5" t="s">
        <v>880</v>
      </c>
      <c r="F147" s="5" t="s">
        <v>104</v>
      </c>
      <c r="G147" s="5"/>
      <c r="H147" s="6"/>
      <c r="I147" s="6"/>
      <c r="J147" s="5" t="s">
        <v>105</v>
      </c>
      <c r="K147" s="5"/>
      <c r="L147" s="5"/>
      <c r="M147" s="5"/>
      <c r="N147" s="5"/>
      <c r="O147" s="5"/>
      <c r="P147" s="5"/>
      <c r="Q147" s="5" t="s">
        <v>109</v>
      </c>
      <c r="R147" s="7" t="s">
        <v>56</v>
      </c>
      <c r="S147" s="8" t="s">
        <v>811</v>
      </c>
      <c r="T147" s="8" t="s">
        <v>812</v>
      </c>
      <c r="U147" s="8" t="s">
        <v>881</v>
      </c>
      <c r="V147" s="5" t="s">
        <v>60</v>
      </c>
      <c r="W147" s="5"/>
    </row>
    <row r="148" spans="1:23" ht="45" x14ac:dyDescent="0.25">
      <c r="A148" s="5">
        <v>147</v>
      </c>
      <c r="B148" s="5" t="s">
        <v>23</v>
      </c>
      <c r="C148" s="5" t="s">
        <v>882</v>
      </c>
      <c r="D148" s="5" t="s">
        <v>883</v>
      </c>
      <c r="E148" s="5" t="s">
        <v>884</v>
      </c>
      <c r="F148" s="5" t="s">
        <v>92</v>
      </c>
      <c r="G148" s="5"/>
      <c r="H148" s="6"/>
      <c r="I148" s="6"/>
      <c r="J148" s="5" t="s">
        <v>51</v>
      </c>
      <c r="K148" s="5"/>
      <c r="L148" s="5"/>
      <c r="M148" s="5"/>
      <c r="N148" s="5" t="s">
        <v>885</v>
      </c>
      <c r="O148" s="5"/>
      <c r="P148" s="5"/>
      <c r="Q148" s="5" t="s">
        <v>55</v>
      </c>
      <c r="R148" s="9" t="s">
        <v>120</v>
      </c>
      <c r="S148" s="8" t="s">
        <v>886</v>
      </c>
      <c r="T148" s="8" t="s">
        <v>58</v>
      </c>
      <c r="U148" s="8" t="s">
        <v>886</v>
      </c>
      <c r="V148" s="5" t="s">
        <v>60</v>
      </c>
      <c r="W148" s="5"/>
    </row>
    <row r="149" spans="1:23" ht="45" x14ac:dyDescent="0.25">
      <c r="A149" s="5">
        <v>148</v>
      </c>
      <c r="B149" s="5" t="s">
        <v>23</v>
      </c>
      <c r="C149" s="5" t="s">
        <v>887</v>
      </c>
      <c r="D149" s="5" t="s">
        <v>888</v>
      </c>
      <c r="E149" s="5" t="s">
        <v>889</v>
      </c>
      <c r="F149" s="5" t="s">
        <v>72</v>
      </c>
      <c r="G149" s="5"/>
      <c r="H149" s="6"/>
      <c r="I149" s="6"/>
      <c r="J149" s="5" t="s">
        <v>51</v>
      </c>
      <c r="K149" s="5"/>
      <c r="L149" s="5"/>
      <c r="M149" s="5"/>
      <c r="N149" s="5" t="s">
        <v>890</v>
      </c>
      <c r="O149" s="5"/>
      <c r="P149" s="5"/>
      <c r="Q149" s="5" t="s">
        <v>55</v>
      </c>
      <c r="R149" s="9" t="s">
        <v>120</v>
      </c>
      <c r="S149" s="8" t="s">
        <v>891</v>
      </c>
      <c r="T149" s="8" t="s">
        <v>58</v>
      </c>
      <c r="U149" s="8" t="s">
        <v>891</v>
      </c>
      <c r="V149" s="5" t="s">
        <v>60</v>
      </c>
      <c r="W149" s="5"/>
    </row>
    <row r="150" spans="1:23" ht="45" x14ac:dyDescent="0.25">
      <c r="A150" s="5">
        <v>149</v>
      </c>
      <c r="B150" s="5" t="s">
        <v>23</v>
      </c>
      <c r="C150" s="5" t="s">
        <v>892</v>
      </c>
      <c r="D150" s="5" t="s">
        <v>893</v>
      </c>
      <c r="E150" s="5" t="s">
        <v>894</v>
      </c>
      <c r="F150" s="5" t="s">
        <v>64</v>
      </c>
      <c r="G150" s="5" t="s">
        <v>895</v>
      </c>
      <c r="H150" s="6">
        <v>13.8960375</v>
      </c>
      <c r="I150" s="6">
        <v>109.0395469</v>
      </c>
      <c r="J150" s="5" t="s">
        <v>896</v>
      </c>
      <c r="K150" s="5"/>
      <c r="L150" s="5"/>
      <c r="M150" s="5"/>
      <c r="N150" s="5" t="s">
        <v>897</v>
      </c>
      <c r="O150" s="5"/>
      <c r="P150" s="5"/>
      <c r="Q150" s="5" t="s">
        <v>55</v>
      </c>
      <c r="R150" s="9" t="s">
        <v>120</v>
      </c>
      <c r="S150" s="8" t="s">
        <v>898</v>
      </c>
      <c r="T150" s="8" t="s">
        <v>58</v>
      </c>
      <c r="U150" s="8" t="s">
        <v>898</v>
      </c>
      <c r="V150" s="5" t="s">
        <v>60</v>
      </c>
      <c r="W150" s="5"/>
    </row>
    <row r="151" spans="1:23" ht="45" x14ac:dyDescent="0.25">
      <c r="A151" s="5">
        <v>150</v>
      </c>
      <c r="B151" s="5" t="s">
        <v>23</v>
      </c>
      <c r="C151" s="5" t="s">
        <v>892</v>
      </c>
      <c r="D151" s="5" t="s">
        <v>899</v>
      </c>
      <c r="E151" s="5" t="s">
        <v>900</v>
      </c>
      <c r="F151" s="5" t="s">
        <v>64</v>
      </c>
      <c r="G151" s="5" t="s">
        <v>901</v>
      </c>
      <c r="H151" s="6">
        <v>13.9061875</v>
      </c>
      <c r="I151" s="6">
        <v>109.01170310000001</v>
      </c>
      <c r="J151" s="5" t="s">
        <v>902</v>
      </c>
      <c r="K151" s="5"/>
      <c r="L151" s="5"/>
      <c r="M151" s="5"/>
      <c r="N151" s="5" t="s">
        <v>897</v>
      </c>
      <c r="O151" s="5"/>
      <c r="P151" s="5"/>
      <c r="Q151" s="5" t="s">
        <v>55</v>
      </c>
      <c r="R151" s="9" t="s">
        <v>120</v>
      </c>
      <c r="S151" s="8" t="s">
        <v>903</v>
      </c>
      <c r="T151" s="8" t="s">
        <v>58</v>
      </c>
      <c r="U151" s="8" t="s">
        <v>903</v>
      </c>
      <c r="V151" s="5" t="s">
        <v>60</v>
      </c>
      <c r="W151" s="5"/>
    </row>
    <row r="152" spans="1:23" ht="45" x14ac:dyDescent="0.25">
      <c r="A152" s="5">
        <v>151</v>
      </c>
      <c r="B152" s="5" t="s">
        <v>23</v>
      </c>
      <c r="C152" s="5" t="s">
        <v>904</v>
      </c>
      <c r="D152" s="5" t="s">
        <v>905</v>
      </c>
      <c r="E152" s="5" t="s">
        <v>906</v>
      </c>
      <c r="F152" s="5" t="s">
        <v>72</v>
      </c>
      <c r="G152" s="5"/>
      <c r="H152" s="6"/>
      <c r="I152" s="6"/>
      <c r="J152" s="5" t="s">
        <v>51</v>
      </c>
      <c r="K152" s="5"/>
      <c r="L152" s="5"/>
      <c r="M152" s="5"/>
      <c r="N152" s="5" t="s">
        <v>907</v>
      </c>
      <c r="O152" s="5"/>
      <c r="P152" s="5"/>
      <c r="Q152" s="5" t="s">
        <v>55</v>
      </c>
      <c r="R152" s="9" t="s">
        <v>120</v>
      </c>
      <c r="S152" s="8" t="s">
        <v>908</v>
      </c>
      <c r="T152" s="8" t="s">
        <v>58</v>
      </c>
      <c r="U152" s="8" t="s">
        <v>908</v>
      </c>
      <c r="V152" s="5" t="s">
        <v>60</v>
      </c>
      <c r="W152" s="5"/>
    </row>
    <row r="153" spans="1:23" ht="45" x14ac:dyDescent="0.25">
      <c r="A153" s="5">
        <v>152</v>
      </c>
      <c r="B153" s="5" t="s">
        <v>23</v>
      </c>
      <c r="C153" s="5" t="s">
        <v>909</v>
      </c>
      <c r="D153" s="5" t="s">
        <v>910</v>
      </c>
      <c r="E153" s="5" t="s">
        <v>911</v>
      </c>
      <c r="F153" s="5" t="s">
        <v>72</v>
      </c>
      <c r="G153" s="5"/>
      <c r="H153" s="6"/>
      <c r="I153" s="6"/>
      <c r="J153" s="5" t="s">
        <v>51</v>
      </c>
      <c r="K153" s="5" t="s">
        <v>912</v>
      </c>
      <c r="L153" s="5"/>
      <c r="M153" s="5"/>
      <c r="N153" s="5" t="s">
        <v>913</v>
      </c>
      <c r="O153" s="5"/>
      <c r="P153" s="5"/>
      <c r="Q153" s="5" t="s">
        <v>55</v>
      </c>
      <c r="R153" s="9" t="s">
        <v>120</v>
      </c>
      <c r="S153" s="8" t="s">
        <v>914</v>
      </c>
      <c r="T153" s="8" t="s">
        <v>58</v>
      </c>
      <c r="U153" s="8" t="s">
        <v>914</v>
      </c>
      <c r="V153" s="5" t="s">
        <v>60</v>
      </c>
      <c r="W153" s="5"/>
    </row>
    <row r="154" spans="1:23" ht="45" x14ac:dyDescent="0.25">
      <c r="A154" s="5">
        <v>153</v>
      </c>
      <c r="B154" s="5" t="s">
        <v>23</v>
      </c>
      <c r="C154" s="5" t="s">
        <v>915</v>
      </c>
      <c r="D154" s="5" t="s">
        <v>916</v>
      </c>
      <c r="E154" s="5" t="s">
        <v>917</v>
      </c>
      <c r="F154" s="5" t="s">
        <v>72</v>
      </c>
      <c r="G154" s="5"/>
      <c r="H154" s="6"/>
      <c r="I154" s="6"/>
      <c r="J154" s="5" t="s">
        <v>51</v>
      </c>
      <c r="K154" s="5"/>
      <c r="L154" s="5"/>
      <c r="M154" s="5"/>
      <c r="N154" s="5" t="s">
        <v>918</v>
      </c>
      <c r="O154" s="5"/>
      <c r="P154" s="5" t="s">
        <v>919</v>
      </c>
      <c r="Q154" s="5" t="s">
        <v>55</v>
      </c>
      <c r="R154" s="7" t="s">
        <v>56</v>
      </c>
      <c r="S154" s="8" t="s">
        <v>920</v>
      </c>
      <c r="T154" s="8" t="s">
        <v>921</v>
      </c>
      <c r="U154" s="8" t="s">
        <v>920</v>
      </c>
      <c r="V154" s="5" t="s">
        <v>60</v>
      </c>
      <c r="W154" s="5"/>
    </row>
    <row r="155" spans="1:23" ht="45" x14ac:dyDescent="0.25">
      <c r="A155" s="5">
        <v>154</v>
      </c>
      <c r="B155" s="5" t="s">
        <v>23</v>
      </c>
      <c r="C155" s="5" t="s">
        <v>915</v>
      </c>
      <c r="D155" s="5" t="s">
        <v>922</v>
      </c>
      <c r="E155" s="5" t="s">
        <v>923</v>
      </c>
      <c r="F155" s="5" t="s">
        <v>92</v>
      </c>
      <c r="G155" s="5"/>
      <c r="H155" s="6"/>
      <c r="I155" s="6"/>
      <c r="J155" s="5" t="s">
        <v>51</v>
      </c>
      <c r="K155" s="5" t="s">
        <v>924</v>
      </c>
      <c r="L155" s="5"/>
      <c r="M155" s="5"/>
      <c r="N155" s="5" t="s">
        <v>918</v>
      </c>
      <c r="O155" s="5"/>
      <c r="P155" s="5"/>
      <c r="Q155" s="5" t="s">
        <v>55</v>
      </c>
      <c r="R155" s="7" t="s">
        <v>56</v>
      </c>
      <c r="S155" s="8" t="s">
        <v>925</v>
      </c>
      <c r="T155" s="8" t="s">
        <v>921</v>
      </c>
      <c r="U155" s="8" t="s">
        <v>926</v>
      </c>
      <c r="V155" s="5" t="s">
        <v>60</v>
      </c>
      <c r="W155" s="5"/>
    </row>
    <row r="156" spans="1:23" ht="45" x14ac:dyDescent="0.25">
      <c r="A156" s="5">
        <v>155</v>
      </c>
      <c r="B156" s="5" t="s">
        <v>23</v>
      </c>
      <c r="C156" s="5" t="s">
        <v>915</v>
      </c>
      <c r="D156" s="5" t="s">
        <v>927</v>
      </c>
      <c r="E156" s="5" t="s">
        <v>928</v>
      </c>
      <c r="F156" s="5" t="s">
        <v>64</v>
      </c>
      <c r="G156" s="5" t="s">
        <v>929</v>
      </c>
      <c r="H156" s="6">
        <v>13.9058625</v>
      </c>
      <c r="I156" s="6">
        <v>109.01898439999999</v>
      </c>
      <c r="J156" s="5" t="s">
        <v>930</v>
      </c>
      <c r="K156" s="5" t="s">
        <v>931</v>
      </c>
      <c r="L156" s="5"/>
      <c r="M156" s="5"/>
      <c r="N156" s="5" t="s">
        <v>918</v>
      </c>
      <c r="O156" s="5"/>
      <c r="P156" s="5"/>
      <c r="Q156" s="5" t="s">
        <v>55</v>
      </c>
      <c r="R156" s="7" t="s">
        <v>56</v>
      </c>
      <c r="S156" s="8" t="s">
        <v>932</v>
      </c>
      <c r="T156" s="8" t="s">
        <v>921</v>
      </c>
      <c r="U156" s="8" t="s">
        <v>932</v>
      </c>
      <c r="V156" s="5" t="s">
        <v>60</v>
      </c>
      <c r="W156" s="5"/>
    </row>
    <row r="157" spans="1:23" ht="45" x14ac:dyDescent="0.25">
      <c r="A157" s="5">
        <v>156</v>
      </c>
      <c r="B157" s="5" t="s">
        <v>23</v>
      </c>
      <c r="C157" s="5" t="s">
        <v>933</v>
      </c>
      <c r="D157" s="5" t="s">
        <v>934</v>
      </c>
      <c r="E157" s="5" t="s">
        <v>935</v>
      </c>
      <c r="F157" s="5" t="s">
        <v>72</v>
      </c>
      <c r="G157" s="5" t="s">
        <v>936</v>
      </c>
      <c r="H157" s="6">
        <v>13.8848875</v>
      </c>
      <c r="I157" s="6">
        <v>109.10679690000001</v>
      </c>
      <c r="J157" s="5" t="s">
        <v>937</v>
      </c>
      <c r="K157" s="5" t="s">
        <v>938</v>
      </c>
      <c r="L157" s="5"/>
      <c r="M157" s="5"/>
      <c r="N157" s="5" t="s">
        <v>939</v>
      </c>
      <c r="O157" s="5"/>
      <c r="P157" s="5"/>
      <c r="Q157" s="5" t="s">
        <v>55</v>
      </c>
      <c r="R157" s="7" t="s">
        <v>56</v>
      </c>
      <c r="S157" s="8" t="s">
        <v>940</v>
      </c>
      <c r="T157" s="8" t="s">
        <v>921</v>
      </c>
      <c r="U157" s="8" t="s">
        <v>940</v>
      </c>
      <c r="V157" s="5" t="s">
        <v>60</v>
      </c>
      <c r="W157" s="5"/>
    </row>
    <row r="158" spans="1:23" ht="45" x14ac:dyDescent="0.25">
      <c r="A158" s="5">
        <v>157</v>
      </c>
      <c r="B158" s="5" t="s">
        <v>23</v>
      </c>
      <c r="C158" s="5" t="s">
        <v>933</v>
      </c>
      <c r="D158" s="5" t="s">
        <v>941</v>
      </c>
      <c r="E158" s="5" t="s">
        <v>942</v>
      </c>
      <c r="F158" s="5" t="s">
        <v>92</v>
      </c>
      <c r="G158" s="5" t="s">
        <v>943</v>
      </c>
      <c r="H158" s="6">
        <v>13.8911625</v>
      </c>
      <c r="I158" s="6">
        <v>109.0669844</v>
      </c>
      <c r="J158" s="5" t="s">
        <v>944</v>
      </c>
      <c r="K158" s="5"/>
      <c r="L158" s="5"/>
      <c r="M158" s="5"/>
      <c r="N158" s="5" t="s">
        <v>939</v>
      </c>
      <c r="O158" s="5"/>
      <c r="P158" s="5"/>
      <c r="Q158" s="5" t="s">
        <v>55</v>
      </c>
      <c r="R158" s="7" t="s">
        <v>56</v>
      </c>
      <c r="S158" s="8" t="s">
        <v>945</v>
      </c>
      <c r="T158" s="8" t="s">
        <v>921</v>
      </c>
      <c r="U158" s="8" t="s">
        <v>945</v>
      </c>
      <c r="V158" s="5" t="s">
        <v>60</v>
      </c>
      <c r="W158" s="5"/>
    </row>
    <row r="159" spans="1:23" ht="45" x14ac:dyDescent="0.25">
      <c r="A159" s="5">
        <v>158</v>
      </c>
      <c r="B159" s="5" t="s">
        <v>23</v>
      </c>
      <c r="C159" s="5" t="s">
        <v>933</v>
      </c>
      <c r="D159" s="5" t="s">
        <v>946</v>
      </c>
      <c r="E159" s="5" t="s">
        <v>947</v>
      </c>
      <c r="F159" s="5" t="s">
        <v>64</v>
      </c>
      <c r="G159" s="5"/>
      <c r="H159" s="6"/>
      <c r="I159" s="6"/>
      <c r="J159" s="5" t="s">
        <v>51</v>
      </c>
      <c r="K159" s="5"/>
      <c r="L159" s="5"/>
      <c r="M159" s="5"/>
      <c r="N159" s="5" t="s">
        <v>939</v>
      </c>
      <c r="O159" s="5"/>
      <c r="P159" s="5"/>
      <c r="Q159" s="5" t="s">
        <v>55</v>
      </c>
      <c r="R159" s="7" t="s">
        <v>56</v>
      </c>
      <c r="S159" s="8" t="s">
        <v>948</v>
      </c>
      <c r="T159" s="8" t="s">
        <v>921</v>
      </c>
      <c r="U159" s="8" t="s">
        <v>948</v>
      </c>
      <c r="V159" s="5" t="s">
        <v>60</v>
      </c>
      <c r="W159" s="5"/>
    </row>
    <row r="160" spans="1:23" ht="45" x14ac:dyDescent="0.25">
      <c r="A160" s="5">
        <v>159</v>
      </c>
      <c r="B160" s="5" t="s">
        <v>23</v>
      </c>
      <c r="C160" s="5" t="s">
        <v>949</v>
      </c>
      <c r="D160" s="5" t="s">
        <v>950</v>
      </c>
      <c r="E160" s="5" t="s">
        <v>951</v>
      </c>
      <c r="F160" s="5" t="s">
        <v>72</v>
      </c>
      <c r="G160" s="5"/>
      <c r="H160" s="6"/>
      <c r="I160" s="6"/>
      <c r="J160" s="5" t="s">
        <v>51</v>
      </c>
      <c r="K160" s="5" t="s">
        <v>952</v>
      </c>
      <c r="L160" s="5" t="s">
        <v>953</v>
      </c>
      <c r="M160" s="5"/>
      <c r="N160" s="5" t="s">
        <v>954</v>
      </c>
      <c r="O160" s="5"/>
      <c r="P160" s="5"/>
      <c r="Q160" s="5" t="s">
        <v>55</v>
      </c>
      <c r="R160" s="7" t="s">
        <v>56</v>
      </c>
      <c r="S160" s="8" t="s">
        <v>953</v>
      </c>
      <c r="T160" s="8" t="s">
        <v>58</v>
      </c>
      <c r="U160" s="8" t="s">
        <v>955</v>
      </c>
      <c r="V160" s="5" t="s">
        <v>60</v>
      </c>
      <c r="W160" s="5"/>
    </row>
    <row r="161" spans="1:23" ht="45" x14ac:dyDescent="0.25">
      <c r="A161" s="5">
        <v>160</v>
      </c>
      <c r="B161" s="5" t="s">
        <v>23</v>
      </c>
      <c r="C161" s="5" t="s">
        <v>949</v>
      </c>
      <c r="D161" s="5" t="s">
        <v>956</v>
      </c>
      <c r="E161" s="5" t="s">
        <v>957</v>
      </c>
      <c r="F161" s="5" t="s">
        <v>72</v>
      </c>
      <c r="G161" s="5"/>
      <c r="H161" s="6"/>
      <c r="I161" s="6"/>
      <c r="J161" s="5" t="s">
        <v>51</v>
      </c>
      <c r="K161" s="5" t="s">
        <v>958</v>
      </c>
      <c r="L161" s="5"/>
      <c r="M161" s="5"/>
      <c r="N161" s="5" t="s">
        <v>954</v>
      </c>
      <c r="O161" s="5"/>
      <c r="P161" s="5"/>
      <c r="Q161" s="5" t="s">
        <v>55</v>
      </c>
      <c r="R161" s="9" t="s">
        <v>120</v>
      </c>
      <c r="S161" s="8" t="s">
        <v>959</v>
      </c>
      <c r="T161" s="8" t="s">
        <v>58</v>
      </c>
      <c r="U161" s="8" t="s">
        <v>959</v>
      </c>
      <c r="V161" s="5" t="s">
        <v>60</v>
      </c>
      <c r="W161" s="5"/>
    </row>
    <row r="162" spans="1:23" ht="45" x14ac:dyDescent="0.25">
      <c r="A162" s="5">
        <v>161</v>
      </c>
      <c r="B162" s="5" t="s">
        <v>23</v>
      </c>
      <c r="C162" s="5" t="s">
        <v>960</v>
      </c>
      <c r="D162" s="5" t="s">
        <v>961</v>
      </c>
      <c r="E162" s="5" t="s">
        <v>962</v>
      </c>
      <c r="F162" s="5" t="s">
        <v>92</v>
      </c>
      <c r="G162" s="5" t="s">
        <v>963</v>
      </c>
      <c r="H162" s="6">
        <v>13.8902375</v>
      </c>
      <c r="I162" s="6">
        <v>109.06745309999999</v>
      </c>
      <c r="J162" s="5" t="s">
        <v>964</v>
      </c>
      <c r="K162" s="5" t="s">
        <v>965</v>
      </c>
      <c r="L162" s="5"/>
      <c r="M162" s="5"/>
      <c r="N162" s="5" t="s">
        <v>966</v>
      </c>
      <c r="O162" s="5"/>
      <c r="P162" s="5"/>
      <c r="Q162" s="5" t="s">
        <v>55</v>
      </c>
      <c r="R162" s="7" t="s">
        <v>56</v>
      </c>
      <c r="S162" s="8" t="s">
        <v>967</v>
      </c>
      <c r="T162" s="8" t="s">
        <v>921</v>
      </c>
      <c r="U162" s="8" t="s">
        <v>967</v>
      </c>
      <c r="V162" s="5" t="s">
        <v>60</v>
      </c>
      <c r="W162" s="5"/>
    </row>
    <row r="163" spans="1:23" ht="45" x14ac:dyDescent="0.25">
      <c r="A163" s="5">
        <v>162</v>
      </c>
      <c r="B163" s="5" t="s">
        <v>23</v>
      </c>
      <c r="C163" s="5" t="s">
        <v>960</v>
      </c>
      <c r="D163" s="5" t="s">
        <v>968</v>
      </c>
      <c r="E163" s="5" t="s">
        <v>969</v>
      </c>
      <c r="F163" s="5" t="s">
        <v>64</v>
      </c>
      <c r="G163" s="5" t="s">
        <v>970</v>
      </c>
      <c r="H163" s="6">
        <v>13.909262500000001</v>
      </c>
      <c r="I163" s="6">
        <v>109.0280781</v>
      </c>
      <c r="J163" s="5" t="s">
        <v>971</v>
      </c>
      <c r="K163" s="5"/>
      <c r="L163" s="5"/>
      <c r="M163" s="5"/>
      <c r="N163" s="5" t="s">
        <v>966</v>
      </c>
      <c r="O163" s="5"/>
      <c r="P163" s="5"/>
      <c r="Q163" s="5" t="s">
        <v>55</v>
      </c>
      <c r="R163" s="7" t="s">
        <v>56</v>
      </c>
      <c r="S163" s="8" t="s">
        <v>972</v>
      </c>
      <c r="T163" s="8" t="s">
        <v>921</v>
      </c>
      <c r="U163" s="8" t="s">
        <v>972</v>
      </c>
      <c r="V163" s="5" t="s">
        <v>60</v>
      </c>
      <c r="W163" s="5"/>
    </row>
    <row r="164" spans="1:23" ht="45" x14ac:dyDescent="0.25">
      <c r="A164" s="5">
        <v>163</v>
      </c>
      <c r="B164" s="5" t="s">
        <v>23</v>
      </c>
      <c r="C164" s="5" t="s">
        <v>960</v>
      </c>
      <c r="D164" s="5" t="s">
        <v>973</v>
      </c>
      <c r="E164" s="5" t="s">
        <v>974</v>
      </c>
      <c r="F164" s="5" t="s">
        <v>72</v>
      </c>
      <c r="G164" s="5"/>
      <c r="H164" s="6"/>
      <c r="I164" s="6"/>
      <c r="J164" s="5" t="s">
        <v>51</v>
      </c>
      <c r="K164" s="5"/>
      <c r="L164" s="5"/>
      <c r="M164" s="5"/>
      <c r="N164" s="5" t="s">
        <v>966</v>
      </c>
      <c r="O164" s="5"/>
      <c r="P164" s="5"/>
      <c r="Q164" s="5" t="s">
        <v>55</v>
      </c>
      <c r="R164" s="7" t="s">
        <v>56</v>
      </c>
      <c r="S164" s="8" t="s">
        <v>975</v>
      </c>
      <c r="T164" s="8" t="s">
        <v>921</v>
      </c>
      <c r="U164" s="8" t="s">
        <v>975</v>
      </c>
      <c r="V164" s="5" t="s">
        <v>60</v>
      </c>
      <c r="W164" s="5"/>
    </row>
    <row r="165" spans="1:23" ht="45" x14ac:dyDescent="0.25">
      <c r="A165" s="5">
        <v>164</v>
      </c>
      <c r="B165" s="5" t="s">
        <v>23</v>
      </c>
      <c r="C165" s="5" t="s">
        <v>960</v>
      </c>
      <c r="D165" s="5" t="s">
        <v>976</v>
      </c>
      <c r="E165" s="5" t="s">
        <v>977</v>
      </c>
      <c r="F165" s="5" t="s">
        <v>72</v>
      </c>
      <c r="G165" s="5"/>
      <c r="H165" s="6"/>
      <c r="I165" s="6"/>
      <c r="J165" s="5" t="s">
        <v>51</v>
      </c>
      <c r="K165" s="5" t="s">
        <v>978</v>
      </c>
      <c r="L165" s="5"/>
      <c r="M165" s="5"/>
      <c r="N165" s="5" t="s">
        <v>966</v>
      </c>
      <c r="O165" s="5"/>
      <c r="P165" s="5"/>
      <c r="Q165" s="5" t="s">
        <v>55</v>
      </c>
      <c r="R165" s="7" t="s">
        <v>56</v>
      </c>
      <c r="S165" s="8" t="s">
        <v>979</v>
      </c>
      <c r="T165" s="8" t="s">
        <v>921</v>
      </c>
      <c r="U165" s="8" t="s">
        <v>979</v>
      </c>
      <c r="V165" s="5" t="s">
        <v>60</v>
      </c>
      <c r="W165" s="5"/>
    </row>
    <row r="166" spans="1:23" ht="45" x14ac:dyDescent="0.25">
      <c r="A166" s="5">
        <v>165</v>
      </c>
      <c r="B166" s="5" t="s">
        <v>23</v>
      </c>
      <c r="C166" s="5" t="s">
        <v>980</v>
      </c>
      <c r="D166" s="5" t="s">
        <v>981</v>
      </c>
      <c r="E166" s="5" t="s">
        <v>982</v>
      </c>
      <c r="F166" s="5" t="s">
        <v>72</v>
      </c>
      <c r="G166" s="5"/>
      <c r="H166" s="6"/>
      <c r="I166" s="6"/>
      <c r="J166" s="5" t="s">
        <v>51</v>
      </c>
      <c r="K166" s="5"/>
      <c r="L166" s="5"/>
      <c r="M166" s="5"/>
      <c r="N166" s="5" t="s">
        <v>983</v>
      </c>
      <c r="O166" s="5"/>
      <c r="P166" s="5"/>
      <c r="Q166" s="5" t="s">
        <v>55</v>
      </c>
      <c r="R166" s="9" t="s">
        <v>120</v>
      </c>
      <c r="S166" s="8" t="s">
        <v>984</v>
      </c>
      <c r="T166" s="8" t="s">
        <v>58</v>
      </c>
      <c r="U166" s="8" t="s">
        <v>984</v>
      </c>
      <c r="V166" s="5" t="s">
        <v>60</v>
      </c>
      <c r="W166" s="5"/>
    </row>
  </sheetData>
  <hyperlinks>
    <hyperlink ref="S2" r:id="rId1" xr:uid="{00000000-0004-0000-0100-000000000000}"/>
    <hyperlink ref="T2" r:id="rId2" xr:uid="{00000000-0004-0000-0100-000001000000}"/>
    <hyperlink ref="U2" r:id="rId3" xr:uid="{00000000-0004-0000-0100-000002000000}"/>
    <hyperlink ref="S3" r:id="rId4" xr:uid="{00000000-0004-0000-0100-000003000000}"/>
    <hyperlink ref="T3" r:id="rId5" xr:uid="{00000000-0004-0000-0100-000004000000}"/>
    <hyperlink ref="U3" r:id="rId6" xr:uid="{00000000-0004-0000-0100-000005000000}"/>
    <hyperlink ref="S4" r:id="rId7" xr:uid="{00000000-0004-0000-0100-000006000000}"/>
    <hyperlink ref="T4" r:id="rId8" xr:uid="{00000000-0004-0000-0100-000007000000}"/>
    <hyperlink ref="U4" r:id="rId9" xr:uid="{00000000-0004-0000-0100-000008000000}"/>
    <hyperlink ref="S5" r:id="rId10" xr:uid="{00000000-0004-0000-0100-000009000000}"/>
    <hyperlink ref="T5" r:id="rId11" xr:uid="{00000000-0004-0000-0100-00000A000000}"/>
    <hyperlink ref="U5" r:id="rId12" xr:uid="{00000000-0004-0000-0100-00000B000000}"/>
    <hyperlink ref="S6" r:id="rId13" xr:uid="{00000000-0004-0000-0100-00000C000000}"/>
    <hyperlink ref="T6" r:id="rId14" xr:uid="{00000000-0004-0000-0100-00000D000000}"/>
    <hyperlink ref="U6" r:id="rId15" xr:uid="{00000000-0004-0000-0100-00000E000000}"/>
    <hyperlink ref="S7" r:id="rId16" xr:uid="{00000000-0004-0000-0100-00000F000000}"/>
    <hyperlink ref="T7" r:id="rId17" xr:uid="{00000000-0004-0000-0100-000010000000}"/>
    <hyperlink ref="U7" r:id="rId18" xr:uid="{00000000-0004-0000-0100-000011000000}"/>
    <hyperlink ref="S8" r:id="rId19" xr:uid="{00000000-0004-0000-0100-000012000000}"/>
    <hyperlink ref="T8" r:id="rId20" xr:uid="{00000000-0004-0000-0100-000013000000}"/>
    <hyperlink ref="U8" r:id="rId21" xr:uid="{00000000-0004-0000-0100-000014000000}"/>
    <hyperlink ref="S9" r:id="rId22" xr:uid="{00000000-0004-0000-0100-000015000000}"/>
    <hyperlink ref="T9" r:id="rId23" xr:uid="{00000000-0004-0000-0100-000016000000}"/>
    <hyperlink ref="U9" r:id="rId24" xr:uid="{00000000-0004-0000-0100-000017000000}"/>
    <hyperlink ref="S10" r:id="rId25" xr:uid="{00000000-0004-0000-0100-000018000000}"/>
    <hyperlink ref="T10" r:id="rId26" xr:uid="{00000000-0004-0000-0100-000019000000}"/>
    <hyperlink ref="U10" r:id="rId27" xr:uid="{00000000-0004-0000-0100-00001A000000}"/>
    <hyperlink ref="S11" r:id="rId28" xr:uid="{00000000-0004-0000-0100-00001B000000}"/>
    <hyperlink ref="T11" r:id="rId29" xr:uid="{00000000-0004-0000-0100-00001C000000}"/>
    <hyperlink ref="U11" r:id="rId30" xr:uid="{00000000-0004-0000-0100-00001D000000}"/>
    <hyperlink ref="S12" r:id="rId31" xr:uid="{00000000-0004-0000-0100-00001E000000}"/>
    <hyperlink ref="T12" r:id="rId32" xr:uid="{00000000-0004-0000-0100-00001F000000}"/>
    <hyperlink ref="U12" r:id="rId33" xr:uid="{00000000-0004-0000-0100-000020000000}"/>
    <hyperlink ref="S13" r:id="rId34" xr:uid="{00000000-0004-0000-0100-000021000000}"/>
    <hyperlink ref="T13" r:id="rId35" xr:uid="{00000000-0004-0000-0100-000022000000}"/>
    <hyperlink ref="U13" r:id="rId36" xr:uid="{00000000-0004-0000-0100-000023000000}"/>
    <hyperlink ref="S14" r:id="rId37" xr:uid="{00000000-0004-0000-0100-000024000000}"/>
    <hyperlink ref="T14" r:id="rId38" xr:uid="{00000000-0004-0000-0100-000025000000}"/>
    <hyperlink ref="U14" r:id="rId39" xr:uid="{00000000-0004-0000-0100-000026000000}"/>
    <hyperlink ref="S15" r:id="rId40" xr:uid="{00000000-0004-0000-0100-000027000000}"/>
    <hyperlink ref="T15" r:id="rId41" xr:uid="{00000000-0004-0000-0100-000028000000}"/>
    <hyperlink ref="U15" r:id="rId42" xr:uid="{00000000-0004-0000-0100-000029000000}"/>
    <hyperlink ref="S16" r:id="rId43" xr:uid="{00000000-0004-0000-0100-00002A000000}"/>
    <hyperlink ref="T16" r:id="rId44" xr:uid="{00000000-0004-0000-0100-00002B000000}"/>
    <hyperlink ref="U16" r:id="rId45" xr:uid="{00000000-0004-0000-0100-00002C000000}"/>
    <hyperlink ref="S17" r:id="rId46" xr:uid="{00000000-0004-0000-0100-00002D000000}"/>
    <hyperlink ref="T17" r:id="rId47" xr:uid="{00000000-0004-0000-0100-00002E000000}"/>
    <hyperlink ref="U17" r:id="rId48" xr:uid="{00000000-0004-0000-0100-00002F000000}"/>
    <hyperlink ref="S18" r:id="rId49" xr:uid="{00000000-0004-0000-0100-000030000000}"/>
    <hyperlink ref="T18" r:id="rId50" xr:uid="{00000000-0004-0000-0100-000031000000}"/>
    <hyperlink ref="U18" r:id="rId51" xr:uid="{00000000-0004-0000-0100-000032000000}"/>
    <hyperlink ref="S19" r:id="rId52" xr:uid="{00000000-0004-0000-0100-000033000000}"/>
    <hyperlink ref="T19" r:id="rId53" xr:uid="{00000000-0004-0000-0100-000034000000}"/>
    <hyperlink ref="U19" r:id="rId54" xr:uid="{00000000-0004-0000-0100-000035000000}"/>
    <hyperlink ref="S20" r:id="rId55" xr:uid="{00000000-0004-0000-0100-000036000000}"/>
    <hyperlink ref="T20" r:id="rId56" xr:uid="{00000000-0004-0000-0100-000037000000}"/>
    <hyperlink ref="U20" r:id="rId57" xr:uid="{00000000-0004-0000-0100-000038000000}"/>
    <hyperlink ref="S21" r:id="rId58" xr:uid="{00000000-0004-0000-0100-000039000000}"/>
    <hyperlink ref="T21" r:id="rId59" xr:uid="{00000000-0004-0000-0100-00003A000000}"/>
    <hyperlink ref="U21" r:id="rId60" xr:uid="{00000000-0004-0000-0100-00003B000000}"/>
    <hyperlink ref="S22" r:id="rId61" xr:uid="{00000000-0004-0000-0100-00003C000000}"/>
    <hyperlink ref="T22" r:id="rId62" xr:uid="{00000000-0004-0000-0100-00003D000000}"/>
    <hyperlink ref="U22" r:id="rId63" xr:uid="{00000000-0004-0000-0100-00003E000000}"/>
    <hyperlink ref="S23" r:id="rId64" xr:uid="{00000000-0004-0000-0100-00003F000000}"/>
    <hyperlink ref="T23" r:id="rId65" xr:uid="{00000000-0004-0000-0100-000040000000}"/>
    <hyperlink ref="U23" r:id="rId66" xr:uid="{00000000-0004-0000-0100-000041000000}"/>
    <hyperlink ref="S24" r:id="rId67" xr:uid="{00000000-0004-0000-0100-000042000000}"/>
    <hyperlink ref="T24" r:id="rId68" xr:uid="{00000000-0004-0000-0100-000043000000}"/>
    <hyperlink ref="U24" r:id="rId69" xr:uid="{00000000-0004-0000-0100-000044000000}"/>
    <hyperlink ref="S25" r:id="rId70" xr:uid="{00000000-0004-0000-0100-000045000000}"/>
    <hyperlink ref="T25" r:id="rId71" xr:uid="{00000000-0004-0000-0100-000046000000}"/>
    <hyperlink ref="U25" r:id="rId72" xr:uid="{00000000-0004-0000-0100-000047000000}"/>
    <hyperlink ref="S26" r:id="rId73" xr:uid="{00000000-0004-0000-0100-000048000000}"/>
    <hyperlink ref="T26" r:id="rId74" xr:uid="{00000000-0004-0000-0100-000049000000}"/>
    <hyperlink ref="U26" r:id="rId75" xr:uid="{00000000-0004-0000-0100-00004A000000}"/>
    <hyperlink ref="S27" r:id="rId76" xr:uid="{00000000-0004-0000-0100-00004B000000}"/>
    <hyperlink ref="T27" r:id="rId77" xr:uid="{00000000-0004-0000-0100-00004C000000}"/>
    <hyperlink ref="U27" r:id="rId78" xr:uid="{00000000-0004-0000-0100-00004D000000}"/>
    <hyperlink ref="S28" r:id="rId79" xr:uid="{00000000-0004-0000-0100-00004E000000}"/>
    <hyperlink ref="T28" r:id="rId80" xr:uid="{00000000-0004-0000-0100-00004F000000}"/>
    <hyperlink ref="U28" r:id="rId81" xr:uid="{00000000-0004-0000-0100-000050000000}"/>
    <hyperlink ref="S29" r:id="rId82" xr:uid="{00000000-0004-0000-0100-000051000000}"/>
    <hyperlink ref="T29" r:id="rId83" xr:uid="{00000000-0004-0000-0100-000052000000}"/>
    <hyperlink ref="U29" r:id="rId84" xr:uid="{00000000-0004-0000-0100-000053000000}"/>
    <hyperlink ref="S30" r:id="rId85" xr:uid="{00000000-0004-0000-0100-000054000000}"/>
    <hyperlink ref="T30" r:id="rId86" xr:uid="{00000000-0004-0000-0100-000055000000}"/>
    <hyperlink ref="U30" r:id="rId87" xr:uid="{00000000-0004-0000-0100-000056000000}"/>
    <hyperlink ref="S31" r:id="rId88" xr:uid="{00000000-0004-0000-0100-000057000000}"/>
    <hyperlink ref="T31" r:id="rId89" xr:uid="{00000000-0004-0000-0100-000058000000}"/>
    <hyperlink ref="U31" r:id="rId90" xr:uid="{00000000-0004-0000-0100-000059000000}"/>
    <hyperlink ref="S32" r:id="rId91" xr:uid="{00000000-0004-0000-0100-00005A000000}"/>
    <hyperlink ref="T32" r:id="rId92" xr:uid="{00000000-0004-0000-0100-00005B000000}"/>
    <hyperlink ref="U32" r:id="rId93" xr:uid="{00000000-0004-0000-0100-00005C000000}"/>
    <hyperlink ref="S33" r:id="rId94" xr:uid="{00000000-0004-0000-0100-00005D000000}"/>
    <hyperlink ref="T33" r:id="rId95" xr:uid="{00000000-0004-0000-0100-00005E000000}"/>
    <hyperlink ref="U33" r:id="rId96" xr:uid="{00000000-0004-0000-0100-00005F000000}"/>
    <hyperlink ref="S34" r:id="rId97" xr:uid="{00000000-0004-0000-0100-000060000000}"/>
    <hyperlink ref="T34" r:id="rId98" xr:uid="{00000000-0004-0000-0100-000061000000}"/>
    <hyperlink ref="U34" r:id="rId99" xr:uid="{00000000-0004-0000-0100-000062000000}"/>
    <hyperlink ref="S35" r:id="rId100" xr:uid="{00000000-0004-0000-0100-000063000000}"/>
    <hyperlink ref="T35" r:id="rId101" xr:uid="{00000000-0004-0000-0100-000064000000}"/>
    <hyperlink ref="U35" r:id="rId102" xr:uid="{00000000-0004-0000-0100-000065000000}"/>
    <hyperlink ref="S36" r:id="rId103" xr:uid="{00000000-0004-0000-0100-000066000000}"/>
    <hyperlink ref="T36" r:id="rId104" xr:uid="{00000000-0004-0000-0100-000067000000}"/>
    <hyperlink ref="U36" r:id="rId105" xr:uid="{00000000-0004-0000-0100-000068000000}"/>
    <hyperlink ref="S37" r:id="rId106" xr:uid="{00000000-0004-0000-0100-000069000000}"/>
    <hyperlink ref="T37" r:id="rId107" xr:uid="{00000000-0004-0000-0100-00006A000000}"/>
    <hyperlink ref="U37" r:id="rId108" xr:uid="{00000000-0004-0000-0100-00006B000000}"/>
    <hyperlink ref="S38" r:id="rId109" xr:uid="{00000000-0004-0000-0100-00006C000000}"/>
    <hyperlink ref="T38" r:id="rId110" xr:uid="{00000000-0004-0000-0100-00006D000000}"/>
    <hyperlink ref="U38" r:id="rId111" xr:uid="{00000000-0004-0000-0100-00006E000000}"/>
    <hyperlink ref="S39" r:id="rId112" xr:uid="{00000000-0004-0000-0100-00006F000000}"/>
    <hyperlink ref="T39" r:id="rId113" xr:uid="{00000000-0004-0000-0100-000070000000}"/>
    <hyperlink ref="U39" r:id="rId114" xr:uid="{00000000-0004-0000-0100-000071000000}"/>
    <hyperlink ref="S40" r:id="rId115" xr:uid="{00000000-0004-0000-0100-000072000000}"/>
    <hyperlink ref="T40" r:id="rId116" xr:uid="{00000000-0004-0000-0100-000073000000}"/>
    <hyperlink ref="U40" r:id="rId117" xr:uid="{00000000-0004-0000-0100-000074000000}"/>
    <hyperlink ref="S41" r:id="rId118" xr:uid="{00000000-0004-0000-0100-000075000000}"/>
    <hyperlink ref="T41" r:id="rId119" xr:uid="{00000000-0004-0000-0100-000076000000}"/>
    <hyperlink ref="U41" r:id="rId120" xr:uid="{00000000-0004-0000-0100-000077000000}"/>
    <hyperlink ref="S42" r:id="rId121" xr:uid="{00000000-0004-0000-0100-000078000000}"/>
    <hyperlink ref="T42" r:id="rId122" xr:uid="{00000000-0004-0000-0100-000079000000}"/>
    <hyperlink ref="U42" r:id="rId123" xr:uid="{00000000-0004-0000-0100-00007A000000}"/>
    <hyperlink ref="S43" r:id="rId124" xr:uid="{00000000-0004-0000-0100-00007B000000}"/>
    <hyperlink ref="T43" r:id="rId125" xr:uid="{00000000-0004-0000-0100-00007C000000}"/>
    <hyperlink ref="U43" r:id="rId126" xr:uid="{00000000-0004-0000-0100-00007D000000}"/>
    <hyperlink ref="S44" r:id="rId127" xr:uid="{00000000-0004-0000-0100-00007E000000}"/>
    <hyperlink ref="T44" r:id="rId128" xr:uid="{00000000-0004-0000-0100-00007F000000}"/>
    <hyperlink ref="U44" r:id="rId129" xr:uid="{00000000-0004-0000-0100-000080000000}"/>
    <hyperlink ref="S45" r:id="rId130" xr:uid="{00000000-0004-0000-0100-000081000000}"/>
    <hyperlink ref="T45" r:id="rId131" xr:uid="{00000000-0004-0000-0100-000082000000}"/>
    <hyperlink ref="U45" r:id="rId132" xr:uid="{00000000-0004-0000-0100-000083000000}"/>
    <hyperlink ref="S46" r:id="rId133" xr:uid="{00000000-0004-0000-0100-000084000000}"/>
    <hyperlink ref="T46" r:id="rId134" xr:uid="{00000000-0004-0000-0100-000085000000}"/>
    <hyperlink ref="U46" r:id="rId135" xr:uid="{00000000-0004-0000-0100-000086000000}"/>
    <hyperlink ref="S47" r:id="rId136" xr:uid="{00000000-0004-0000-0100-000087000000}"/>
    <hyperlink ref="T47" r:id="rId137" xr:uid="{00000000-0004-0000-0100-000088000000}"/>
    <hyperlink ref="U47" r:id="rId138" xr:uid="{00000000-0004-0000-0100-000089000000}"/>
    <hyperlink ref="S48" r:id="rId139" xr:uid="{00000000-0004-0000-0100-00008A000000}"/>
    <hyperlink ref="T48" r:id="rId140" xr:uid="{00000000-0004-0000-0100-00008B000000}"/>
    <hyperlink ref="U48" r:id="rId141" xr:uid="{00000000-0004-0000-0100-00008C000000}"/>
    <hyperlink ref="S49" r:id="rId142" xr:uid="{00000000-0004-0000-0100-00008D000000}"/>
    <hyperlink ref="T49" r:id="rId143" xr:uid="{00000000-0004-0000-0100-00008E000000}"/>
    <hyperlink ref="U49" r:id="rId144" xr:uid="{00000000-0004-0000-0100-00008F000000}"/>
    <hyperlink ref="S50" r:id="rId145" xr:uid="{00000000-0004-0000-0100-000090000000}"/>
    <hyperlink ref="T50" r:id="rId146" xr:uid="{00000000-0004-0000-0100-000091000000}"/>
    <hyperlink ref="U50" r:id="rId147" xr:uid="{00000000-0004-0000-0100-000092000000}"/>
    <hyperlink ref="S51" r:id="rId148" xr:uid="{00000000-0004-0000-0100-000093000000}"/>
    <hyperlink ref="T51" r:id="rId149" xr:uid="{00000000-0004-0000-0100-000094000000}"/>
    <hyperlink ref="U51" r:id="rId150" xr:uid="{00000000-0004-0000-0100-000095000000}"/>
    <hyperlink ref="S52" r:id="rId151" xr:uid="{00000000-0004-0000-0100-000096000000}"/>
    <hyperlink ref="T52" r:id="rId152" xr:uid="{00000000-0004-0000-0100-000097000000}"/>
    <hyperlink ref="U52" r:id="rId153" xr:uid="{00000000-0004-0000-0100-000098000000}"/>
    <hyperlink ref="S53" r:id="rId154" xr:uid="{00000000-0004-0000-0100-000099000000}"/>
    <hyperlink ref="T53" r:id="rId155" xr:uid="{00000000-0004-0000-0100-00009A000000}"/>
    <hyperlink ref="U53" r:id="rId156" xr:uid="{00000000-0004-0000-0100-00009B000000}"/>
    <hyperlink ref="S54" r:id="rId157" xr:uid="{00000000-0004-0000-0100-00009C000000}"/>
    <hyperlink ref="T54" r:id="rId158" xr:uid="{00000000-0004-0000-0100-00009D000000}"/>
    <hyperlink ref="U54" r:id="rId159" xr:uid="{00000000-0004-0000-0100-00009E000000}"/>
    <hyperlink ref="S55" r:id="rId160" xr:uid="{00000000-0004-0000-0100-00009F000000}"/>
    <hyperlink ref="T55" r:id="rId161" xr:uid="{00000000-0004-0000-0100-0000A0000000}"/>
    <hyperlink ref="U55" r:id="rId162" xr:uid="{00000000-0004-0000-0100-0000A1000000}"/>
    <hyperlink ref="S56" r:id="rId163" xr:uid="{00000000-0004-0000-0100-0000A2000000}"/>
    <hyperlink ref="T56" r:id="rId164" xr:uid="{00000000-0004-0000-0100-0000A3000000}"/>
    <hyperlink ref="U56" r:id="rId165" xr:uid="{00000000-0004-0000-0100-0000A4000000}"/>
    <hyperlink ref="S57" r:id="rId166" xr:uid="{00000000-0004-0000-0100-0000A5000000}"/>
    <hyperlink ref="T57" r:id="rId167" xr:uid="{00000000-0004-0000-0100-0000A6000000}"/>
    <hyperlink ref="U57" r:id="rId168" xr:uid="{00000000-0004-0000-0100-0000A7000000}"/>
    <hyperlink ref="S58" r:id="rId169" xr:uid="{00000000-0004-0000-0100-0000A8000000}"/>
    <hyperlink ref="T58" r:id="rId170" xr:uid="{00000000-0004-0000-0100-0000A9000000}"/>
    <hyperlink ref="U58" r:id="rId171" xr:uid="{00000000-0004-0000-0100-0000AA000000}"/>
    <hyperlink ref="S59" r:id="rId172" xr:uid="{00000000-0004-0000-0100-0000AB000000}"/>
    <hyperlink ref="T59" r:id="rId173" xr:uid="{00000000-0004-0000-0100-0000AC000000}"/>
    <hyperlink ref="U59" r:id="rId174" xr:uid="{00000000-0004-0000-0100-0000AD000000}"/>
    <hyperlink ref="S60" r:id="rId175" xr:uid="{00000000-0004-0000-0100-0000AE000000}"/>
    <hyperlink ref="T60" r:id="rId176" xr:uid="{00000000-0004-0000-0100-0000AF000000}"/>
    <hyperlink ref="U60" r:id="rId177" xr:uid="{00000000-0004-0000-0100-0000B0000000}"/>
    <hyperlink ref="S61" r:id="rId178" xr:uid="{00000000-0004-0000-0100-0000B1000000}"/>
    <hyperlink ref="T61" r:id="rId179" xr:uid="{00000000-0004-0000-0100-0000B2000000}"/>
    <hyperlink ref="U61" r:id="rId180" xr:uid="{00000000-0004-0000-0100-0000B3000000}"/>
    <hyperlink ref="S62" r:id="rId181" xr:uid="{00000000-0004-0000-0100-0000B4000000}"/>
    <hyperlink ref="T62" r:id="rId182" xr:uid="{00000000-0004-0000-0100-0000B5000000}"/>
    <hyperlink ref="U62" r:id="rId183" xr:uid="{00000000-0004-0000-0100-0000B6000000}"/>
    <hyperlink ref="S63" r:id="rId184" xr:uid="{00000000-0004-0000-0100-0000B7000000}"/>
    <hyperlink ref="T63" r:id="rId185" xr:uid="{00000000-0004-0000-0100-0000B8000000}"/>
    <hyperlink ref="U63" r:id="rId186" xr:uid="{00000000-0004-0000-0100-0000B9000000}"/>
    <hyperlink ref="S64" r:id="rId187" xr:uid="{00000000-0004-0000-0100-0000BA000000}"/>
    <hyperlink ref="T64" r:id="rId188" xr:uid="{00000000-0004-0000-0100-0000BB000000}"/>
    <hyperlink ref="U64" r:id="rId189" xr:uid="{00000000-0004-0000-0100-0000BC000000}"/>
    <hyperlink ref="S65" r:id="rId190" xr:uid="{00000000-0004-0000-0100-0000BD000000}"/>
    <hyperlink ref="T65" r:id="rId191" xr:uid="{00000000-0004-0000-0100-0000BE000000}"/>
    <hyperlink ref="U65" r:id="rId192" xr:uid="{00000000-0004-0000-0100-0000BF000000}"/>
    <hyperlink ref="S66" r:id="rId193" xr:uid="{00000000-0004-0000-0100-0000C0000000}"/>
    <hyperlink ref="T66" r:id="rId194" xr:uid="{00000000-0004-0000-0100-0000C1000000}"/>
    <hyperlink ref="U66" r:id="rId195" xr:uid="{00000000-0004-0000-0100-0000C2000000}"/>
    <hyperlink ref="S67" r:id="rId196" xr:uid="{00000000-0004-0000-0100-0000C3000000}"/>
    <hyperlink ref="T67" r:id="rId197" xr:uid="{00000000-0004-0000-0100-0000C4000000}"/>
    <hyperlink ref="U67" r:id="rId198" xr:uid="{00000000-0004-0000-0100-0000C5000000}"/>
    <hyperlink ref="S68" r:id="rId199" xr:uid="{00000000-0004-0000-0100-0000C6000000}"/>
    <hyperlink ref="T68" r:id="rId200" xr:uid="{00000000-0004-0000-0100-0000C7000000}"/>
    <hyperlink ref="U68" r:id="rId201" xr:uid="{00000000-0004-0000-0100-0000C8000000}"/>
    <hyperlink ref="S69" r:id="rId202" xr:uid="{00000000-0004-0000-0100-0000C9000000}"/>
    <hyperlink ref="T69" r:id="rId203" xr:uid="{00000000-0004-0000-0100-0000CA000000}"/>
    <hyperlink ref="U69" r:id="rId204" xr:uid="{00000000-0004-0000-0100-0000CB000000}"/>
    <hyperlink ref="S70" r:id="rId205" xr:uid="{00000000-0004-0000-0100-0000CC000000}"/>
    <hyperlink ref="T70" r:id="rId206" xr:uid="{00000000-0004-0000-0100-0000CD000000}"/>
    <hyperlink ref="U70" r:id="rId207" xr:uid="{00000000-0004-0000-0100-0000CE000000}"/>
    <hyperlink ref="S71" r:id="rId208" xr:uid="{00000000-0004-0000-0100-0000CF000000}"/>
    <hyperlink ref="T71" r:id="rId209" xr:uid="{00000000-0004-0000-0100-0000D0000000}"/>
    <hyperlink ref="U71" r:id="rId210" xr:uid="{00000000-0004-0000-0100-0000D1000000}"/>
    <hyperlink ref="S72" r:id="rId211" xr:uid="{00000000-0004-0000-0100-0000D2000000}"/>
    <hyperlink ref="T72" r:id="rId212" xr:uid="{00000000-0004-0000-0100-0000D3000000}"/>
    <hyperlink ref="U72" r:id="rId213" xr:uid="{00000000-0004-0000-0100-0000D4000000}"/>
    <hyperlink ref="S73" r:id="rId214" xr:uid="{00000000-0004-0000-0100-0000D5000000}"/>
    <hyperlink ref="T73" r:id="rId215" xr:uid="{00000000-0004-0000-0100-0000D6000000}"/>
    <hyperlink ref="U73" r:id="rId216" xr:uid="{00000000-0004-0000-0100-0000D7000000}"/>
    <hyperlink ref="S74" r:id="rId217" xr:uid="{00000000-0004-0000-0100-0000D8000000}"/>
    <hyperlink ref="T74" r:id="rId218" xr:uid="{00000000-0004-0000-0100-0000D9000000}"/>
    <hyperlink ref="U74" r:id="rId219" xr:uid="{00000000-0004-0000-0100-0000DA000000}"/>
    <hyperlink ref="S75" r:id="rId220" xr:uid="{00000000-0004-0000-0100-0000DB000000}"/>
    <hyperlink ref="T75" r:id="rId221" xr:uid="{00000000-0004-0000-0100-0000DC000000}"/>
    <hyperlink ref="U75" r:id="rId222" xr:uid="{00000000-0004-0000-0100-0000DD000000}"/>
    <hyperlink ref="S76" r:id="rId223" xr:uid="{00000000-0004-0000-0100-0000DE000000}"/>
    <hyperlink ref="T76" r:id="rId224" xr:uid="{00000000-0004-0000-0100-0000DF000000}"/>
    <hyperlink ref="U76" r:id="rId225" xr:uid="{00000000-0004-0000-0100-0000E0000000}"/>
    <hyperlink ref="S77" r:id="rId226" xr:uid="{00000000-0004-0000-0100-0000E1000000}"/>
    <hyperlink ref="T77" r:id="rId227" xr:uid="{00000000-0004-0000-0100-0000E2000000}"/>
    <hyperlink ref="U77" r:id="rId228" xr:uid="{00000000-0004-0000-0100-0000E3000000}"/>
    <hyperlink ref="S78" r:id="rId229" xr:uid="{00000000-0004-0000-0100-0000E4000000}"/>
    <hyperlink ref="T78" r:id="rId230" xr:uid="{00000000-0004-0000-0100-0000E5000000}"/>
    <hyperlink ref="U78" r:id="rId231" xr:uid="{00000000-0004-0000-0100-0000E6000000}"/>
    <hyperlink ref="S79" r:id="rId232" xr:uid="{00000000-0004-0000-0100-0000E7000000}"/>
    <hyperlink ref="T79" r:id="rId233" xr:uid="{00000000-0004-0000-0100-0000E8000000}"/>
    <hyperlink ref="U79" r:id="rId234" xr:uid="{00000000-0004-0000-0100-0000E9000000}"/>
    <hyperlink ref="S80" r:id="rId235" xr:uid="{00000000-0004-0000-0100-0000EA000000}"/>
    <hyperlink ref="T80" r:id="rId236" xr:uid="{00000000-0004-0000-0100-0000EB000000}"/>
    <hyperlink ref="U80" r:id="rId237" xr:uid="{00000000-0004-0000-0100-0000EC000000}"/>
    <hyperlink ref="S81" r:id="rId238" xr:uid="{00000000-0004-0000-0100-0000ED000000}"/>
    <hyperlink ref="T81" r:id="rId239" xr:uid="{00000000-0004-0000-0100-0000EE000000}"/>
    <hyperlink ref="U81" r:id="rId240" xr:uid="{00000000-0004-0000-0100-0000EF000000}"/>
    <hyperlink ref="S82" r:id="rId241" xr:uid="{00000000-0004-0000-0100-0000F0000000}"/>
    <hyperlink ref="T82" r:id="rId242" xr:uid="{00000000-0004-0000-0100-0000F1000000}"/>
    <hyperlink ref="U82" r:id="rId243" xr:uid="{00000000-0004-0000-0100-0000F2000000}"/>
    <hyperlink ref="S83" r:id="rId244" xr:uid="{00000000-0004-0000-0100-0000F3000000}"/>
    <hyperlink ref="T83" r:id="rId245" xr:uid="{00000000-0004-0000-0100-0000F4000000}"/>
    <hyperlink ref="U83" r:id="rId246" xr:uid="{00000000-0004-0000-0100-0000F5000000}"/>
    <hyperlink ref="S84" r:id="rId247" xr:uid="{00000000-0004-0000-0100-0000F6000000}"/>
    <hyperlink ref="T84" r:id="rId248" xr:uid="{00000000-0004-0000-0100-0000F7000000}"/>
    <hyperlink ref="U84" r:id="rId249" xr:uid="{00000000-0004-0000-0100-0000F8000000}"/>
    <hyperlink ref="S85" r:id="rId250" xr:uid="{00000000-0004-0000-0100-0000F9000000}"/>
    <hyperlink ref="T85" r:id="rId251" xr:uid="{00000000-0004-0000-0100-0000FA000000}"/>
    <hyperlink ref="U85" r:id="rId252" xr:uid="{00000000-0004-0000-0100-0000FB000000}"/>
    <hyperlink ref="S86" r:id="rId253" xr:uid="{00000000-0004-0000-0100-0000FC000000}"/>
    <hyperlink ref="T86" r:id="rId254" xr:uid="{00000000-0004-0000-0100-0000FD000000}"/>
    <hyperlink ref="U86" r:id="rId255" xr:uid="{00000000-0004-0000-0100-0000FE000000}"/>
    <hyperlink ref="S87" r:id="rId256" xr:uid="{00000000-0004-0000-0100-0000FF000000}"/>
    <hyperlink ref="T87" r:id="rId257" xr:uid="{00000000-0004-0000-0100-000000010000}"/>
    <hyperlink ref="U87" r:id="rId258" xr:uid="{00000000-0004-0000-0100-000001010000}"/>
    <hyperlink ref="S88" r:id="rId259" xr:uid="{00000000-0004-0000-0100-000002010000}"/>
    <hyperlink ref="T88" r:id="rId260" xr:uid="{00000000-0004-0000-0100-000003010000}"/>
    <hyperlink ref="U88" r:id="rId261" xr:uid="{00000000-0004-0000-0100-000004010000}"/>
    <hyperlink ref="S89" r:id="rId262" xr:uid="{00000000-0004-0000-0100-000005010000}"/>
    <hyperlink ref="T89" r:id="rId263" xr:uid="{00000000-0004-0000-0100-000006010000}"/>
    <hyperlink ref="U89" r:id="rId264" xr:uid="{00000000-0004-0000-0100-000007010000}"/>
    <hyperlink ref="S90" r:id="rId265" xr:uid="{00000000-0004-0000-0100-000008010000}"/>
    <hyperlink ref="T90" r:id="rId266" xr:uid="{00000000-0004-0000-0100-000009010000}"/>
    <hyperlink ref="U90" r:id="rId267" xr:uid="{00000000-0004-0000-0100-00000A010000}"/>
    <hyperlink ref="S91" r:id="rId268" xr:uid="{00000000-0004-0000-0100-00000B010000}"/>
    <hyperlink ref="T91" r:id="rId269" xr:uid="{00000000-0004-0000-0100-00000C010000}"/>
    <hyperlink ref="U91" r:id="rId270" xr:uid="{00000000-0004-0000-0100-00000D010000}"/>
    <hyperlink ref="S92" r:id="rId271" xr:uid="{00000000-0004-0000-0100-00000E010000}"/>
    <hyperlink ref="T92" r:id="rId272" xr:uid="{00000000-0004-0000-0100-00000F010000}"/>
    <hyperlink ref="U92" r:id="rId273" xr:uid="{00000000-0004-0000-0100-000010010000}"/>
    <hyperlink ref="S93" r:id="rId274" xr:uid="{00000000-0004-0000-0100-000011010000}"/>
    <hyperlink ref="T93" r:id="rId275" xr:uid="{00000000-0004-0000-0100-000012010000}"/>
    <hyperlink ref="U93" r:id="rId276" xr:uid="{00000000-0004-0000-0100-000013010000}"/>
    <hyperlink ref="S94" r:id="rId277" xr:uid="{00000000-0004-0000-0100-000014010000}"/>
    <hyperlink ref="T94" r:id="rId278" xr:uid="{00000000-0004-0000-0100-000015010000}"/>
    <hyperlink ref="U94" r:id="rId279" xr:uid="{00000000-0004-0000-0100-000016010000}"/>
    <hyperlink ref="S95" r:id="rId280" xr:uid="{00000000-0004-0000-0100-000017010000}"/>
    <hyperlink ref="T95" r:id="rId281" xr:uid="{00000000-0004-0000-0100-000018010000}"/>
    <hyperlink ref="U95" r:id="rId282" xr:uid="{00000000-0004-0000-0100-000019010000}"/>
    <hyperlink ref="S96" r:id="rId283" xr:uid="{00000000-0004-0000-0100-00001A010000}"/>
    <hyperlink ref="T96" r:id="rId284" xr:uid="{00000000-0004-0000-0100-00001B010000}"/>
    <hyperlink ref="U96" r:id="rId285" xr:uid="{00000000-0004-0000-0100-00001C010000}"/>
    <hyperlink ref="S97" r:id="rId286" xr:uid="{00000000-0004-0000-0100-00001D010000}"/>
    <hyperlink ref="T97" r:id="rId287" xr:uid="{00000000-0004-0000-0100-00001E010000}"/>
    <hyperlink ref="U97" r:id="rId288" xr:uid="{00000000-0004-0000-0100-00001F010000}"/>
    <hyperlink ref="S98" r:id="rId289" xr:uid="{00000000-0004-0000-0100-000020010000}"/>
    <hyperlink ref="T98" r:id="rId290" xr:uid="{00000000-0004-0000-0100-000021010000}"/>
    <hyperlink ref="U98" r:id="rId291" xr:uid="{00000000-0004-0000-0100-000022010000}"/>
    <hyperlink ref="S99" r:id="rId292" xr:uid="{00000000-0004-0000-0100-000023010000}"/>
    <hyperlink ref="T99" r:id="rId293" xr:uid="{00000000-0004-0000-0100-000024010000}"/>
    <hyperlink ref="U99" r:id="rId294" xr:uid="{00000000-0004-0000-0100-000025010000}"/>
    <hyperlink ref="S100" r:id="rId295" xr:uid="{00000000-0004-0000-0100-000026010000}"/>
    <hyperlink ref="T100" r:id="rId296" xr:uid="{00000000-0004-0000-0100-000027010000}"/>
    <hyperlink ref="U100" r:id="rId297" xr:uid="{00000000-0004-0000-0100-000028010000}"/>
    <hyperlink ref="S101" r:id="rId298" xr:uid="{00000000-0004-0000-0100-000029010000}"/>
    <hyperlink ref="T101" r:id="rId299" xr:uid="{00000000-0004-0000-0100-00002A010000}"/>
    <hyperlink ref="U101" r:id="rId300" xr:uid="{00000000-0004-0000-0100-00002B010000}"/>
    <hyperlink ref="S102" r:id="rId301" xr:uid="{00000000-0004-0000-0100-00002C010000}"/>
    <hyperlink ref="T102" r:id="rId302" xr:uid="{00000000-0004-0000-0100-00002D010000}"/>
    <hyperlink ref="U102" r:id="rId303" xr:uid="{00000000-0004-0000-0100-00002E010000}"/>
    <hyperlink ref="S103" r:id="rId304" xr:uid="{00000000-0004-0000-0100-00002F010000}"/>
    <hyperlink ref="T103" r:id="rId305" xr:uid="{00000000-0004-0000-0100-000030010000}"/>
    <hyperlink ref="U103" r:id="rId306" xr:uid="{00000000-0004-0000-0100-000031010000}"/>
    <hyperlink ref="S104" r:id="rId307" xr:uid="{00000000-0004-0000-0100-000032010000}"/>
    <hyperlink ref="T104" r:id="rId308" xr:uid="{00000000-0004-0000-0100-000033010000}"/>
    <hyperlink ref="U104" r:id="rId309" xr:uid="{00000000-0004-0000-0100-000034010000}"/>
    <hyperlink ref="S105" r:id="rId310" xr:uid="{00000000-0004-0000-0100-000035010000}"/>
    <hyperlink ref="T105" r:id="rId311" xr:uid="{00000000-0004-0000-0100-000036010000}"/>
    <hyperlink ref="U105" r:id="rId312" xr:uid="{00000000-0004-0000-0100-000037010000}"/>
    <hyperlink ref="S106" r:id="rId313" xr:uid="{00000000-0004-0000-0100-000038010000}"/>
    <hyperlink ref="T106" r:id="rId314" xr:uid="{00000000-0004-0000-0100-000039010000}"/>
    <hyperlink ref="U106" r:id="rId315" xr:uid="{00000000-0004-0000-0100-00003A010000}"/>
    <hyperlink ref="S107" r:id="rId316" xr:uid="{00000000-0004-0000-0100-00003B010000}"/>
    <hyperlink ref="T107" r:id="rId317" xr:uid="{00000000-0004-0000-0100-00003C010000}"/>
    <hyperlink ref="U107" r:id="rId318" xr:uid="{00000000-0004-0000-0100-00003D010000}"/>
    <hyperlink ref="S108" r:id="rId319" xr:uid="{00000000-0004-0000-0100-00003E010000}"/>
    <hyperlink ref="T108" r:id="rId320" xr:uid="{00000000-0004-0000-0100-00003F010000}"/>
    <hyperlink ref="U108" r:id="rId321" xr:uid="{00000000-0004-0000-0100-000040010000}"/>
    <hyperlink ref="S109" r:id="rId322" xr:uid="{00000000-0004-0000-0100-000041010000}"/>
    <hyperlink ref="T109" r:id="rId323" xr:uid="{00000000-0004-0000-0100-000042010000}"/>
    <hyperlink ref="U109" r:id="rId324" xr:uid="{00000000-0004-0000-0100-000043010000}"/>
    <hyperlink ref="S110" r:id="rId325" xr:uid="{00000000-0004-0000-0100-000044010000}"/>
    <hyperlink ref="T110" r:id="rId326" xr:uid="{00000000-0004-0000-0100-000045010000}"/>
    <hyperlink ref="U110" r:id="rId327" xr:uid="{00000000-0004-0000-0100-000046010000}"/>
    <hyperlink ref="S111" r:id="rId328" xr:uid="{00000000-0004-0000-0100-000047010000}"/>
    <hyperlink ref="T111" r:id="rId329" xr:uid="{00000000-0004-0000-0100-000048010000}"/>
    <hyperlink ref="U111" r:id="rId330" xr:uid="{00000000-0004-0000-0100-000049010000}"/>
    <hyperlink ref="S112" r:id="rId331" xr:uid="{00000000-0004-0000-0100-00004A010000}"/>
    <hyperlink ref="T112" r:id="rId332" xr:uid="{00000000-0004-0000-0100-00004B010000}"/>
    <hyperlink ref="U112" r:id="rId333" xr:uid="{00000000-0004-0000-0100-00004C010000}"/>
    <hyperlink ref="S113" r:id="rId334" xr:uid="{00000000-0004-0000-0100-00004D010000}"/>
    <hyperlink ref="T113" r:id="rId335" xr:uid="{00000000-0004-0000-0100-00004E010000}"/>
    <hyperlink ref="U113" r:id="rId336" xr:uid="{00000000-0004-0000-0100-00004F010000}"/>
    <hyperlink ref="S114" r:id="rId337" xr:uid="{00000000-0004-0000-0100-000050010000}"/>
    <hyperlink ref="T114" r:id="rId338" xr:uid="{00000000-0004-0000-0100-000051010000}"/>
    <hyperlink ref="U114" r:id="rId339" xr:uid="{00000000-0004-0000-0100-000052010000}"/>
    <hyperlink ref="S115" r:id="rId340" xr:uid="{00000000-0004-0000-0100-000053010000}"/>
    <hyperlink ref="T115" r:id="rId341" xr:uid="{00000000-0004-0000-0100-000054010000}"/>
    <hyperlink ref="U115" r:id="rId342" xr:uid="{00000000-0004-0000-0100-000055010000}"/>
    <hyperlink ref="S116" r:id="rId343" xr:uid="{00000000-0004-0000-0100-000056010000}"/>
    <hyperlink ref="T116" r:id="rId344" xr:uid="{00000000-0004-0000-0100-000057010000}"/>
    <hyperlink ref="U116" r:id="rId345" xr:uid="{00000000-0004-0000-0100-000058010000}"/>
    <hyperlink ref="S117" r:id="rId346" xr:uid="{00000000-0004-0000-0100-000059010000}"/>
    <hyperlink ref="T117" r:id="rId347" xr:uid="{00000000-0004-0000-0100-00005A010000}"/>
    <hyperlink ref="U117" r:id="rId348" xr:uid="{00000000-0004-0000-0100-00005B010000}"/>
    <hyperlink ref="S118" r:id="rId349" xr:uid="{00000000-0004-0000-0100-00005C010000}"/>
    <hyperlink ref="T118" r:id="rId350" xr:uid="{00000000-0004-0000-0100-00005D010000}"/>
    <hyperlink ref="U118" r:id="rId351" xr:uid="{00000000-0004-0000-0100-00005E010000}"/>
    <hyperlink ref="S119" r:id="rId352" xr:uid="{00000000-0004-0000-0100-00005F010000}"/>
    <hyperlink ref="T119" r:id="rId353" xr:uid="{00000000-0004-0000-0100-000060010000}"/>
    <hyperlink ref="U119" r:id="rId354" xr:uid="{00000000-0004-0000-0100-000061010000}"/>
    <hyperlink ref="S120" r:id="rId355" xr:uid="{00000000-0004-0000-0100-000062010000}"/>
    <hyperlink ref="T120" r:id="rId356" xr:uid="{00000000-0004-0000-0100-000063010000}"/>
    <hyperlink ref="U120" r:id="rId357" xr:uid="{00000000-0004-0000-0100-000064010000}"/>
    <hyperlink ref="S121" r:id="rId358" xr:uid="{00000000-0004-0000-0100-000065010000}"/>
    <hyperlink ref="T121" r:id="rId359" xr:uid="{00000000-0004-0000-0100-000066010000}"/>
    <hyperlink ref="U121" r:id="rId360" xr:uid="{00000000-0004-0000-0100-000067010000}"/>
    <hyperlink ref="S122" r:id="rId361" xr:uid="{00000000-0004-0000-0100-000068010000}"/>
    <hyperlink ref="T122" r:id="rId362" xr:uid="{00000000-0004-0000-0100-000069010000}"/>
    <hyperlink ref="U122" r:id="rId363" xr:uid="{00000000-0004-0000-0100-00006A010000}"/>
    <hyperlink ref="S123" r:id="rId364" xr:uid="{00000000-0004-0000-0100-00006B010000}"/>
    <hyperlink ref="T123" r:id="rId365" xr:uid="{00000000-0004-0000-0100-00006C010000}"/>
    <hyperlink ref="U123" r:id="rId366" xr:uid="{00000000-0004-0000-0100-00006D010000}"/>
    <hyperlink ref="S124" r:id="rId367" xr:uid="{00000000-0004-0000-0100-00006E010000}"/>
    <hyperlink ref="T124" r:id="rId368" xr:uid="{00000000-0004-0000-0100-00006F010000}"/>
    <hyperlink ref="U124" r:id="rId369" xr:uid="{00000000-0004-0000-0100-000070010000}"/>
    <hyperlink ref="S125" r:id="rId370" xr:uid="{00000000-0004-0000-0100-000071010000}"/>
    <hyperlink ref="T125" r:id="rId371" xr:uid="{00000000-0004-0000-0100-000072010000}"/>
    <hyperlink ref="U125" r:id="rId372" xr:uid="{00000000-0004-0000-0100-000073010000}"/>
    <hyperlink ref="S126" r:id="rId373" xr:uid="{00000000-0004-0000-0100-000074010000}"/>
    <hyperlink ref="T126" r:id="rId374" xr:uid="{00000000-0004-0000-0100-000075010000}"/>
    <hyperlink ref="U126" r:id="rId375" xr:uid="{00000000-0004-0000-0100-000076010000}"/>
    <hyperlink ref="S127" r:id="rId376" xr:uid="{00000000-0004-0000-0100-000077010000}"/>
    <hyperlink ref="T127" r:id="rId377" xr:uid="{00000000-0004-0000-0100-000078010000}"/>
    <hyperlink ref="U127" r:id="rId378" xr:uid="{00000000-0004-0000-0100-000079010000}"/>
    <hyperlink ref="S128" r:id="rId379" xr:uid="{00000000-0004-0000-0100-00007A010000}"/>
    <hyperlink ref="T128" r:id="rId380" xr:uid="{00000000-0004-0000-0100-00007B010000}"/>
    <hyperlink ref="U128" r:id="rId381" xr:uid="{00000000-0004-0000-0100-00007C010000}"/>
    <hyperlink ref="S129" r:id="rId382" xr:uid="{00000000-0004-0000-0100-00007D010000}"/>
    <hyperlink ref="T129" r:id="rId383" xr:uid="{00000000-0004-0000-0100-00007E010000}"/>
    <hyperlink ref="U129" r:id="rId384" xr:uid="{00000000-0004-0000-0100-00007F010000}"/>
    <hyperlink ref="S130" r:id="rId385" xr:uid="{00000000-0004-0000-0100-000080010000}"/>
    <hyperlink ref="T130" r:id="rId386" xr:uid="{00000000-0004-0000-0100-000081010000}"/>
    <hyperlink ref="U130" r:id="rId387" xr:uid="{00000000-0004-0000-0100-000082010000}"/>
    <hyperlink ref="S131" r:id="rId388" xr:uid="{00000000-0004-0000-0100-000083010000}"/>
    <hyperlink ref="T131" r:id="rId389" xr:uid="{00000000-0004-0000-0100-000084010000}"/>
    <hyperlink ref="U131" r:id="rId390" xr:uid="{00000000-0004-0000-0100-000085010000}"/>
    <hyperlink ref="S132" r:id="rId391" xr:uid="{00000000-0004-0000-0100-000086010000}"/>
    <hyperlink ref="T132" r:id="rId392" xr:uid="{00000000-0004-0000-0100-000087010000}"/>
    <hyperlink ref="U132" r:id="rId393" xr:uid="{00000000-0004-0000-0100-000088010000}"/>
    <hyperlink ref="S133" r:id="rId394" xr:uid="{00000000-0004-0000-0100-000089010000}"/>
    <hyperlink ref="T133" r:id="rId395" xr:uid="{00000000-0004-0000-0100-00008A010000}"/>
    <hyperlink ref="U133" r:id="rId396" xr:uid="{00000000-0004-0000-0100-00008B010000}"/>
    <hyperlink ref="S134" r:id="rId397" xr:uid="{00000000-0004-0000-0100-00008C010000}"/>
    <hyperlink ref="T134" r:id="rId398" xr:uid="{00000000-0004-0000-0100-00008D010000}"/>
    <hyperlink ref="U134" r:id="rId399" xr:uid="{00000000-0004-0000-0100-00008E010000}"/>
    <hyperlink ref="S135" r:id="rId400" xr:uid="{00000000-0004-0000-0100-00008F010000}"/>
    <hyperlink ref="T135" r:id="rId401" xr:uid="{00000000-0004-0000-0100-000090010000}"/>
    <hyperlink ref="U135" r:id="rId402" xr:uid="{00000000-0004-0000-0100-000091010000}"/>
    <hyperlink ref="S136" r:id="rId403" xr:uid="{00000000-0004-0000-0100-000092010000}"/>
    <hyperlink ref="T136" r:id="rId404" xr:uid="{00000000-0004-0000-0100-000093010000}"/>
    <hyperlink ref="U136" r:id="rId405" xr:uid="{00000000-0004-0000-0100-000094010000}"/>
    <hyperlink ref="S137" r:id="rId406" xr:uid="{00000000-0004-0000-0100-000095010000}"/>
    <hyperlink ref="T137" r:id="rId407" xr:uid="{00000000-0004-0000-0100-000096010000}"/>
    <hyperlink ref="U137" r:id="rId408" xr:uid="{00000000-0004-0000-0100-000097010000}"/>
    <hyperlink ref="S138" r:id="rId409" xr:uid="{00000000-0004-0000-0100-000098010000}"/>
    <hyperlink ref="T138" r:id="rId410" xr:uid="{00000000-0004-0000-0100-000099010000}"/>
    <hyperlink ref="U138" r:id="rId411" xr:uid="{00000000-0004-0000-0100-00009A010000}"/>
    <hyperlink ref="S139" r:id="rId412" xr:uid="{00000000-0004-0000-0100-00009B010000}"/>
    <hyperlink ref="T139" r:id="rId413" xr:uid="{00000000-0004-0000-0100-00009C010000}"/>
    <hyperlink ref="U139" r:id="rId414" xr:uid="{00000000-0004-0000-0100-00009D010000}"/>
    <hyperlink ref="S140" r:id="rId415" xr:uid="{00000000-0004-0000-0100-00009E010000}"/>
    <hyperlink ref="T140" r:id="rId416" xr:uid="{00000000-0004-0000-0100-00009F010000}"/>
    <hyperlink ref="U140" r:id="rId417" xr:uid="{00000000-0004-0000-0100-0000A0010000}"/>
    <hyperlink ref="S141" r:id="rId418" xr:uid="{00000000-0004-0000-0100-0000A1010000}"/>
    <hyperlink ref="T141" r:id="rId419" xr:uid="{00000000-0004-0000-0100-0000A2010000}"/>
    <hyperlink ref="U141" r:id="rId420" xr:uid="{00000000-0004-0000-0100-0000A3010000}"/>
    <hyperlink ref="S142" r:id="rId421" xr:uid="{00000000-0004-0000-0100-0000A4010000}"/>
    <hyperlink ref="T142" r:id="rId422" xr:uid="{00000000-0004-0000-0100-0000A5010000}"/>
    <hyperlink ref="U142" r:id="rId423" xr:uid="{00000000-0004-0000-0100-0000A6010000}"/>
    <hyperlink ref="S143" r:id="rId424" xr:uid="{00000000-0004-0000-0100-0000A7010000}"/>
    <hyperlink ref="T143" r:id="rId425" xr:uid="{00000000-0004-0000-0100-0000A8010000}"/>
    <hyperlink ref="U143" r:id="rId426" xr:uid="{00000000-0004-0000-0100-0000A9010000}"/>
    <hyperlink ref="S144" r:id="rId427" xr:uid="{00000000-0004-0000-0100-0000AA010000}"/>
    <hyperlink ref="T144" r:id="rId428" xr:uid="{00000000-0004-0000-0100-0000AB010000}"/>
    <hyperlink ref="U144" r:id="rId429" xr:uid="{00000000-0004-0000-0100-0000AC010000}"/>
    <hyperlink ref="S145" r:id="rId430" xr:uid="{00000000-0004-0000-0100-0000AD010000}"/>
    <hyperlink ref="T145" r:id="rId431" xr:uid="{00000000-0004-0000-0100-0000AE010000}"/>
    <hyperlink ref="U145" r:id="rId432" xr:uid="{00000000-0004-0000-0100-0000AF010000}"/>
    <hyperlink ref="S146" r:id="rId433" xr:uid="{00000000-0004-0000-0100-0000B0010000}"/>
    <hyperlink ref="T146" r:id="rId434" xr:uid="{00000000-0004-0000-0100-0000B1010000}"/>
    <hyperlink ref="U146" r:id="rId435" xr:uid="{00000000-0004-0000-0100-0000B2010000}"/>
    <hyperlink ref="S147" r:id="rId436" xr:uid="{00000000-0004-0000-0100-0000B3010000}"/>
    <hyperlink ref="T147" r:id="rId437" xr:uid="{00000000-0004-0000-0100-0000B4010000}"/>
    <hyperlink ref="U147" r:id="rId438" xr:uid="{00000000-0004-0000-0100-0000B5010000}"/>
    <hyperlink ref="S148" r:id="rId439" xr:uid="{00000000-0004-0000-0100-0000B6010000}"/>
    <hyperlink ref="T148" r:id="rId440" xr:uid="{00000000-0004-0000-0100-0000B7010000}"/>
    <hyperlink ref="U148" r:id="rId441" xr:uid="{00000000-0004-0000-0100-0000B8010000}"/>
    <hyperlink ref="S149" r:id="rId442" xr:uid="{00000000-0004-0000-0100-0000B9010000}"/>
    <hyperlink ref="T149" r:id="rId443" xr:uid="{00000000-0004-0000-0100-0000BA010000}"/>
    <hyperlink ref="U149" r:id="rId444" xr:uid="{00000000-0004-0000-0100-0000BB010000}"/>
    <hyperlink ref="S150" r:id="rId445" xr:uid="{00000000-0004-0000-0100-0000BC010000}"/>
    <hyperlink ref="T150" r:id="rId446" xr:uid="{00000000-0004-0000-0100-0000BD010000}"/>
    <hyperlink ref="U150" r:id="rId447" xr:uid="{00000000-0004-0000-0100-0000BE010000}"/>
    <hyperlink ref="S151" r:id="rId448" xr:uid="{00000000-0004-0000-0100-0000BF010000}"/>
    <hyperlink ref="T151" r:id="rId449" xr:uid="{00000000-0004-0000-0100-0000C0010000}"/>
    <hyperlink ref="U151" r:id="rId450" xr:uid="{00000000-0004-0000-0100-0000C1010000}"/>
    <hyperlink ref="S152" r:id="rId451" xr:uid="{00000000-0004-0000-0100-0000C2010000}"/>
    <hyperlink ref="T152" r:id="rId452" xr:uid="{00000000-0004-0000-0100-0000C3010000}"/>
    <hyperlink ref="U152" r:id="rId453" xr:uid="{00000000-0004-0000-0100-0000C4010000}"/>
    <hyperlink ref="S153" r:id="rId454" xr:uid="{00000000-0004-0000-0100-0000C5010000}"/>
    <hyperlink ref="T153" r:id="rId455" xr:uid="{00000000-0004-0000-0100-0000C6010000}"/>
    <hyperlink ref="U153" r:id="rId456" xr:uid="{00000000-0004-0000-0100-0000C7010000}"/>
    <hyperlink ref="S154" r:id="rId457" xr:uid="{00000000-0004-0000-0100-0000C8010000}"/>
    <hyperlink ref="T154" r:id="rId458" xr:uid="{00000000-0004-0000-0100-0000C9010000}"/>
    <hyperlink ref="U154" r:id="rId459" xr:uid="{00000000-0004-0000-0100-0000CA010000}"/>
    <hyperlink ref="S155" r:id="rId460" xr:uid="{00000000-0004-0000-0100-0000CB010000}"/>
    <hyperlink ref="T155" r:id="rId461" xr:uid="{00000000-0004-0000-0100-0000CC010000}"/>
    <hyperlink ref="U155" r:id="rId462" xr:uid="{00000000-0004-0000-0100-0000CD010000}"/>
    <hyperlink ref="S156" r:id="rId463" xr:uid="{00000000-0004-0000-0100-0000CE010000}"/>
    <hyperlink ref="T156" r:id="rId464" xr:uid="{00000000-0004-0000-0100-0000CF010000}"/>
    <hyperlink ref="U156" r:id="rId465" xr:uid="{00000000-0004-0000-0100-0000D0010000}"/>
    <hyperlink ref="S157" r:id="rId466" xr:uid="{00000000-0004-0000-0100-0000D1010000}"/>
    <hyperlink ref="T157" r:id="rId467" xr:uid="{00000000-0004-0000-0100-0000D2010000}"/>
    <hyperlink ref="U157" r:id="rId468" xr:uid="{00000000-0004-0000-0100-0000D3010000}"/>
    <hyperlink ref="S158" r:id="rId469" xr:uid="{00000000-0004-0000-0100-0000D4010000}"/>
    <hyperlink ref="T158" r:id="rId470" xr:uid="{00000000-0004-0000-0100-0000D5010000}"/>
    <hyperlink ref="U158" r:id="rId471" xr:uid="{00000000-0004-0000-0100-0000D6010000}"/>
    <hyperlink ref="S159" r:id="rId472" xr:uid="{00000000-0004-0000-0100-0000D7010000}"/>
    <hyperlink ref="T159" r:id="rId473" xr:uid="{00000000-0004-0000-0100-0000D8010000}"/>
    <hyperlink ref="U159" r:id="rId474" xr:uid="{00000000-0004-0000-0100-0000D9010000}"/>
    <hyperlink ref="S160" r:id="rId475" xr:uid="{00000000-0004-0000-0100-0000DA010000}"/>
    <hyperlink ref="T160" r:id="rId476" xr:uid="{00000000-0004-0000-0100-0000DB010000}"/>
    <hyperlink ref="U160" r:id="rId477" xr:uid="{00000000-0004-0000-0100-0000DC010000}"/>
    <hyperlink ref="S161" r:id="rId478" xr:uid="{00000000-0004-0000-0100-0000DD010000}"/>
    <hyperlink ref="T161" r:id="rId479" xr:uid="{00000000-0004-0000-0100-0000DE010000}"/>
    <hyperlink ref="U161" r:id="rId480" xr:uid="{00000000-0004-0000-0100-0000DF010000}"/>
    <hyperlink ref="S162" r:id="rId481" xr:uid="{00000000-0004-0000-0100-0000E0010000}"/>
    <hyperlink ref="T162" r:id="rId482" xr:uid="{00000000-0004-0000-0100-0000E1010000}"/>
    <hyperlink ref="U162" r:id="rId483" xr:uid="{00000000-0004-0000-0100-0000E2010000}"/>
    <hyperlink ref="S163" r:id="rId484" xr:uid="{00000000-0004-0000-0100-0000E3010000}"/>
    <hyperlink ref="T163" r:id="rId485" xr:uid="{00000000-0004-0000-0100-0000E4010000}"/>
    <hyperlink ref="U163" r:id="rId486" xr:uid="{00000000-0004-0000-0100-0000E5010000}"/>
    <hyperlink ref="S164" r:id="rId487" xr:uid="{00000000-0004-0000-0100-0000E6010000}"/>
    <hyperlink ref="T164" r:id="rId488" xr:uid="{00000000-0004-0000-0100-0000E7010000}"/>
    <hyperlink ref="U164" r:id="rId489" xr:uid="{00000000-0004-0000-0100-0000E8010000}"/>
    <hyperlink ref="S165" r:id="rId490" xr:uid="{00000000-0004-0000-0100-0000E9010000}"/>
    <hyperlink ref="T165" r:id="rId491" xr:uid="{00000000-0004-0000-0100-0000EA010000}"/>
    <hyperlink ref="U165" r:id="rId492" xr:uid="{00000000-0004-0000-0100-0000EB010000}"/>
    <hyperlink ref="S166" r:id="rId493" xr:uid="{00000000-0004-0000-0100-0000EC010000}"/>
    <hyperlink ref="T166" r:id="rId494" xr:uid="{00000000-0004-0000-0100-0000ED010000}"/>
    <hyperlink ref="U166" r:id="rId495" xr:uid="{00000000-0004-0000-0100-0000EE01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2" width="40" customWidth="1"/>
    <col min="3" max="3" width="25" customWidth="1"/>
    <col min="4" max="4" width="48" customWidth="1"/>
    <col min="5" max="5" width="18" customWidth="1"/>
    <col min="6" max="6" width="15" customWidth="1"/>
    <col min="7" max="8" width="14" customWidth="1"/>
    <col min="9" max="9" width="46" customWidth="1"/>
    <col min="10" max="10" width="70" customWidth="1"/>
    <col min="11" max="12" width="55" customWidth="1"/>
  </cols>
  <sheetData>
    <row r="1" spans="1:12" x14ac:dyDescent="0.25">
      <c r="A1" s="11" t="s">
        <v>25</v>
      </c>
      <c r="B1" s="11" t="s">
        <v>985</v>
      </c>
      <c r="C1" s="11" t="s">
        <v>986</v>
      </c>
      <c r="D1" s="11" t="s">
        <v>28</v>
      </c>
      <c r="E1" s="11" t="s">
        <v>29</v>
      </c>
      <c r="F1" s="11" t="s">
        <v>30</v>
      </c>
      <c r="G1" s="11" t="s">
        <v>31</v>
      </c>
      <c r="H1" s="11" t="s">
        <v>32</v>
      </c>
      <c r="I1" s="11" t="s">
        <v>987</v>
      </c>
      <c r="J1" s="11" t="s">
        <v>988</v>
      </c>
      <c r="K1" s="11" t="s">
        <v>989</v>
      </c>
      <c r="L1" s="11" t="s">
        <v>44</v>
      </c>
    </row>
    <row r="2" spans="1:12" ht="30" x14ac:dyDescent="0.25">
      <c r="A2" s="3">
        <v>1</v>
      </c>
      <c r="B2" s="3" t="s">
        <v>48</v>
      </c>
      <c r="C2" s="3" t="s">
        <v>47</v>
      </c>
      <c r="D2" s="3" t="s">
        <v>49</v>
      </c>
      <c r="E2" s="3" t="s">
        <v>50</v>
      </c>
      <c r="F2" s="3"/>
      <c r="G2" s="3"/>
      <c r="H2" s="3"/>
      <c r="I2" s="3" t="s">
        <v>53</v>
      </c>
      <c r="J2" s="3" t="s">
        <v>54</v>
      </c>
      <c r="K2" s="8" t="s">
        <v>57</v>
      </c>
      <c r="L2" s="8" t="s">
        <v>59</v>
      </c>
    </row>
    <row r="3" spans="1:12" ht="30" x14ac:dyDescent="0.25">
      <c r="A3" s="3">
        <v>2</v>
      </c>
      <c r="B3" s="3" t="s">
        <v>62</v>
      </c>
      <c r="C3" s="3" t="s">
        <v>61</v>
      </c>
      <c r="D3" s="3" t="s">
        <v>63</v>
      </c>
      <c r="E3" s="3" t="s">
        <v>64</v>
      </c>
      <c r="F3" s="3"/>
      <c r="G3" s="3"/>
      <c r="H3" s="3"/>
      <c r="I3" s="3" t="s">
        <v>53</v>
      </c>
      <c r="J3" s="3" t="s">
        <v>66</v>
      </c>
      <c r="K3" s="8" t="s">
        <v>57</v>
      </c>
      <c r="L3" s="8" t="s">
        <v>68</v>
      </c>
    </row>
    <row r="4" spans="1:12" ht="30" x14ac:dyDescent="0.25">
      <c r="A4" s="3">
        <v>3</v>
      </c>
      <c r="B4" s="3" t="s">
        <v>70</v>
      </c>
      <c r="C4" s="3" t="s">
        <v>69</v>
      </c>
      <c r="D4" s="3" t="s">
        <v>71</v>
      </c>
      <c r="E4" s="3" t="s">
        <v>72</v>
      </c>
      <c r="F4" s="3" t="s">
        <v>73</v>
      </c>
      <c r="G4" s="3">
        <v>13.883112499999999</v>
      </c>
      <c r="H4" s="3">
        <v>109.1085156</v>
      </c>
      <c r="I4" s="3" t="s">
        <v>76</v>
      </c>
      <c r="J4" s="3" t="s">
        <v>77</v>
      </c>
      <c r="K4" s="8" t="s">
        <v>78</v>
      </c>
      <c r="L4" s="8" t="s">
        <v>80</v>
      </c>
    </row>
    <row r="5" spans="1:12" ht="45" x14ac:dyDescent="0.25">
      <c r="A5" s="3">
        <v>4</v>
      </c>
      <c r="B5" s="3" t="s">
        <v>81</v>
      </c>
      <c r="C5" s="3" t="s">
        <v>69</v>
      </c>
      <c r="D5" s="3" t="s">
        <v>82</v>
      </c>
      <c r="E5" s="3" t="s">
        <v>64</v>
      </c>
      <c r="F5" s="3"/>
      <c r="G5" s="3"/>
      <c r="H5" s="3"/>
      <c r="I5" s="3" t="s">
        <v>84</v>
      </c>
      <c r="J5" s="3" t="s">
        <v>85</v>
      </c>
      <c r="K5" s="8" t="s">
        <v>78</v>
      </c>
      <c r="L5" s="8" t="s">
        <v>87</v>
      </c>
    </row>
    <row r="6" spans="1:12" ht="30" x14ac:dyDescent="0.25">
      <c r="A6" s="3">
        <v>5</v>
      </c>
      <c r="B6" s="3" t="s">
        <v>90</v>
      </c>
      <c r="C6" s="3" t="s">
        <v>89</v>
      </c>
      <c r="D6" s="3" t="s">
        <v>91</v>
      </c>
      <c r="E6" s="3" t="s">
        <v>92</v>
      </c>
      <c r="F6" s="3"/>
      <c r="G6" s="3"/>
      <c r="H6" s="3"/>
      <c r="I6" s="3" t="s">
        <v>53</v>
      </c>
      <c r="J6" s="3" t="s">
        <v>94</v>
      </c>
      <c r="K6" s="8" t="s">
        <v>57</v>
      </c>
      <c r="L6" s="8" t="s">
        <v>95</v>
      </c>
    </row>
    <row r="7" spans="1:12" ht="30" x14ac:dyDescent="0.25">
      <c r="A7" s="3">
        <v>6</v>
      </c>
      <c r="B7" s="3" t="s">
        <v>96</v>
      </c>
      <c r="C7" s="3" t="s">
        <v>89</v>
      </c>
      <c r="D7" s="3" t="s">
        <v>97</v>
      </c>
      <c r="E7" s="3" t="s">
        <v>92</v>
      </c>
      <c r="F7" s="3"/>
      <c r="G7" s="3"/>
      <c r="H7" s="3"/>
      <c r="I7" s="3" t="s">
        <v>53</v>
      </c>
      <c r="J7" s="3" t="s">
        <v>99</v>
      </c>
      <c r="K7" s="8" t="s">
        <v>57</v>
      </c>
      <c r="L7" s="8" t="s">
        <v>100</v>
      </c>
    </row>
    <row r="8" spans="1:12" ht="45" x14ac:dyDescent="0.25">
      <c r="A8" s="3">
        <v>7</v>
      </c>
      <c r="B8" s="3" t="s">
        <v>102</v>
      </c>
      <c r="C8" s="3" t="s">
        <v>101</v>
      </c>
      <c r="D8" s="3" t="s">
        <v>103</v>
      </c>
      <c r="E8" s="3" t="s">
        <v>104</v>
      </c>
      <c r="F8" s="3"/>
      <c r="G8" s="3"/>
      <c r="H8" s="3"/>
      <c r="I8" s="3" t="s">
        <v>107</v>
      </c>
      <c r="J8" s="3" t="s">
        <v>108</v>
      </c>
      <c r="K8" s="8" t="s">
        <v>57</v>
      </c>
      <c r="L8" s="8" t="s">
        <v>110</v>
      </c>
    </row>
    <row r="9" spans="1:12" ht="30" x14ac:dyDescent="0.25">
      <c r="A9" s="3">
        <v>8</v>
      </c>
      <c r="B9" s="3" t="s">
        <v>111</v>
      </c>
      <c r="C9" s="3" t="s">
        <v>47</v>
      </c>
      <c r="D9" s="3" t="s">
        <v>112</v>
      </c>
      <c r="E9" s="3" t="s">
        <v>72</v>
      </c>
      <c r="F9" s="3"/>
      <c r="G9" s="3"/>
      <c r="H9" s="3"/>
      <c r="I9" s="3" t="s">
        <v>53</v>
      </c>
      <c r="J9" s="3" t="s">
        <v>114</v>
      </c>
      <c r="K9" s="8" t="s">
        <v>57</v>
      </c>
      <c r="L9" s="8" t="s">
        <v>115</v>
      </c>
    </row>
  </sheetData>
  <autoFilter ref="A1:L9" xr:uid="{00000000-0009-0000-0000-000002000000}"/>
  <hyperlinks>
    <hyperlink ref="K2" r:id="rId1" xr:uid="{00000000-0004-0000-0200-000000000000}"/>
    <hyperlink ref="L2" r:id="rId2" xr:uid="{00000000-0004-0000-0200-000001000000}"/>
    <hyperlink ref="K3" r:id="rId3" xr:uid="{00000000-0004-0000-0200-000002000000}"/>
    <hyperlink ref="L3" r:id="rId4" xr:uid="{00000000-0004-0000-0200-000003000000}"/>
    <hyperlink ref="K4" r:id="rId5" xr:uid="{00000000-0004-0000-0200-000004000000}"/>
    <hyperlink ref="L4" r:id="rId6" xr:uid="{00000000-0004-0000-0200-000005000000}"/>
    <hyperlink ref="K5" r:id="rId7" xr:uid="{00000000-0004-0000-0200-000006000000}"/>
    <hyperlink ref="L5" r:id="rId8" xr:uid="{00000000-0004-0000-0200-000007000000}"/>
    <hyperlink ref="K6" r:id="rId9" xr:uid="{00000000-0004-0000-0200-000008000000}"/>
    <hyperlink ref="L6" r:id="rId10" xr:uid="{00000000-0004-0000-0200-000009000000}"/>
    <hyperlink ref="K7" r:id="rId11" xr:uid="{00000000-0004-0000-0200-00000A000000}"/>
    <hyperlink ref="L7" r:id="rId12" xr:uid="{00000000-0004-0000-0200-00000B000000}"/>
    <hyperlink ref="K8" r:id="rId13" xr:uid="{00000000-0004-0000-0200-00000C000000}"/>
    <hyperlink ref="L8" r:id="rId14" xr:uid="{00000000-0004-0000-0200-00000D000000}"/>
    <hyperlink ref="K9" r:id="rId15" xr:uid="{00000000-0004-0000-0200-00000E000000}"/>
    <hyperlink ref="L9" r:id="rId16" xr:uid="{00000000-0004-0000-0200-00000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85" customWidth="1"/>
    <col min="3" max="3" width="55" customWidth="1"/>
  </cols>
  <sheetData>
    <row r="1" spans="1:3" x14ac:dyDescent="0.25">
      <c r="A1" s="12" t="s">
        <v>990</v>
      </c>
      <c r="B1" s="12" t="s">
        <v>991</v>
      </c>
      <c r="C1" s="12" t="s">
        <v>992</v>
      </c>
    </row>
    <row r="2" spans="1:3" ht="30" x14ac:dyDescent="0.25">
      <c r="A2" s="3" t="s">
        <v>993</v>
      </c>
      <c r="B2" s="3" t="s">
        <v>994</v>
      </c>
      <c r="C2" s="3" t="s">
        <v>58</v>
      </c>
    </row>
    <row r="3" spans="1:3" ht="45" x14ac:dyDescent="0.25">
      <c r="A3" s="3" t="s">
        <v>995</v>
      </c>
      <c r="B3" s="3" t="s">
        <v>996</v>
      </c>
      <c r="C3" s="3" t="s">
        <v>58</v>
      </c>
    </row>
    <row r="4" spans="1:3" ht="30" x14ac:dyDescent="0.25">
      <c r="A4" s="3" t="s">
        <v>997</v>
      </c>
      <c r="B4" s="3" t="s">
        <v>998</v>
      </c>
      <c r="C4" s="3" t="s">
        <v>58</v>
      </c>
    </row>
    <row r="5" spans="1:3" x14ac:dyDescent="0.25">
      <c r="A5" s="3" t="s">
        <v>999</v>
      </c>
      <c r="B5" s="3" t="s">
        <v>1000</v>
      </c>
      <c r="C5" s="3" t="s">
        <v>812</v>
      </c>
    </row>
    <row r="6" spans="1:3" ht="45" x14ac:dyDescent="0.25">
      <c r="A6" s="3" t="s">
        <v>1001</v>
      </c>
      <c r="B6" s="3" t="s">
        <v>1002</v>
      </c>
      <c r="C6" s="3" t="s">
        <v>921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3"/>
  <sheetViews>
    <sheetView showGridLines="0" topLeftCell="B1" workbookViewId="0">
      <pane ySplit="1" topLeftCell="A132" activePane="bottomLeft" state="frozen"/>
      <selection pane="bottomLeft"/>
    </sheetView>
  </sheetViews>
  <sheetFormatPr defaultRowHeight="15" x14ac:dyDescent="0.25"/>
  <cols>
    <col min="1" max="1" width="8" customWidth="1"/>
    <col min="2" max="2" width="32" customWidth="1"/>
    <col min="3" max="3" width="110" customWidth="1"/>
  </cols>
  <sheetData>
    <row r="1" spans="1:3" x14ac:dyDescent="0.25">
      <c r="A1" s="1" t="s">
        <v>25</v>
      </c>
      <c r="B1" s="1" t="s">
        <v>1003</v>
      </c>
      <c r="C1" s="1" t="s">
        <v>1004</v>
      </c>
    </row>
    <row r="2" spans="1:3" ht="30" x14ac:dyDescent="0.25">
      <c r="A2">
        <v>1</v>
      </c>
      <c r="B2" s="3" t="s">
        <v>1005</v>
      </c>
      <c r="C2" s="13" t="s">
        <v>79</v>
      </c>
    </row>
    <row r="3" spans="1:3" ht="30" x14ac:dyDescent="0.25">
      <c r="A3">
        <v>2</v>
      </c>
      <c r="B3" s="3" t="s">
        <v>1006</v>
      </c>
      <c r="C3" s="13" t="s">
        <v>86</v>
      </c>
    </row>
    <row r="4" spans="1:3" ht="30" x14ac:dyDescent="0.25">
      <c r="A4">
        <v>3</v>
      </c>
      <c r="B4" s="3" t="s">
        <v>1006</v>
      </c>
      <c r="C4" s="13" t="s">
        <v>67</v>
      </c>
    </row>
    <row r="5" spans="1:3" ht="15.75" x14ac:dyDescent="0.25">
      <c r="A5">
        <v>4</v>
      </c>
      <c r="B5" s="3" t="s">
        <v>1007</v>
      </c>
      <c r="C5" s="13" t="s">
        <v>663</v>
      </c>
    </row>
    <row r="6" spans="1:3" ht="30" x14ac:dyDescent="0.25">
      <c r="A6">
        <v>5</v>
      </c>
      <c r="B6" s="3" t="s">
        <v>1006</v>
      </c>
      <c r="C6" s="13" t="s">
        <v>812</v>
      </c>
    </row>
    <row r="7" spans="1:3" ht="31.5" x14ac:dyDescent="0.25">
      <c r="A7">
        <v>6</v>
      </c>
      <c r="B7" s="3" t="s">
        <v>1007</v>
      </c>
      <c r="C7" s="13" t="s">
        <v>215</v>
      </c>
    </row>
    <row r="8" spans="1:3" ht="31.5" x14ac:dyDescent="0.25">
      <c r="A8">
        <v>7</v>
      </c>
      <c r="B8" s="3" t="s">
        <v>1005</v>
      </c>
      <c r="C8" s="13" t="s">
        <v>921</v>
      </c>
    </row>
    <row r="9" spans="1:3" ht="31.5" x14ac:dyDescent="0.25">
      <c r="A9">
        <v>8</v>
      </c>
      <c r="B9" s="3" t="s">
        <v>1006</v>
      </c>
      <c r="C9" s="13" t="s">
        <v>811</v>
      </c>
    </row>
    <row r="10" spans="1:3" ht="15.75" x14ac:dyDescent="0.25">
      <c r="A10">
        <v>9</v>
      </c>
      <c r="B10" s="3" t="s">
        <v>1007</v>
      </c>
      <c r="C10" s="13" t="s">
        <v>78</v>
      </c>
    </row>
    <row r="11" spans="1:3" ht="31.5" x14ac:dyDescent="0.25">
      <c r="A11">
        <v>10</v>
      </c>
      <c r="B11" s="3" t="s">
        <v>1007</v>
      </c>
      <c r="C11" s="13" t="s">
        <v>57</v>
      </c>
    </row>
    <row r="12" spans="1:3" ht="30" x14ac:dyDescent="0.25">
      <c r="A12">
        <v>11</v>
      </c>
      <c r="B12" s="3" t="s">
        <v>1005</v>
      </c>
      <c r="C12" s="13" t="s">
        <v>669</v>
      </c>
    </row>
    <row r="13" spans="1:3" ht="30" x14ac:dyDescent="0.25">
      <c r="A13">
        <v>12</v>
      </c>
      <c r="B13" s="3" t="s">
        <v>1005</v>
      </c>
      <c r="C13" s="13" t="s">
        <v>199</v>
      </c>
    </row>
    <row r="14" spans="1:3" ht="15.75" x14ac:dyDescent="0.25">
      <c r="A14">
        <v>13</v>
      </c>
      <c r="B14" s="3" t="s">
        <v>1007</v>
      </c>
      <c r="C14" s="13" t="s">
        <v>671</v>
      </c>
    </row>
    <row r="15" spans="1:3" ht="15.75" x14ac:dyDescent="0.25">
      <c r="A15">
        <v>14</v>
      </c>
      <c r="B15" s="3" t="s">
        <v>1007</v>
      </c>
      <c r="C15" s="13" t="s">
        <v>925</v>
      </c>
    </row>
    <row r="16" spans="1:3" ht="15.75" x14ac:dyDescent="0.25">
      <c r="A16">
        <v>15</v>
      </c>
      <c r="B16" s="3" t="s">
        <v>1007</v>
      </c>
      <c r="C16" s="13" t="s">
        <v>286</v>
      </c>
    </row>
    <row r="17" spans="1:3" ht="30" x14ac:dyDescent="0.25">
      <c r="A17">
        <v>16</v>
      </c>
      <c r="B17" s="3" t="s">
        <v>1005</v>
      </c>
      <c r="C17" s="13" t="s">
        <v>251</v>
      </c>
    </row>
    <row r="18" spans="1:3" ht="15.75" x14ac:dyDescent="0.25">
      <c r="A18">
        <v>17</v>
      </c>
      <c r="B18" s="3" t="s">
        <v>1007</v>
      </c>
      <c r="C18" s="13" t="s">
        <v>696</v>
      </c>
    </row>
    <row r="19" spans="1:3" ht="30" x14ac:dyDescent="0.25">
      <c r="A19">
        <v>18</v>
      </c>
      <c r="B19" s="3" t="s">
        <v>1005</v>
      </c>
      <c r="C19" s="13" t="s">
        <v>664</v>
      </c>
    </row>
    <row r="20" spans="1:3" ht="30" x14ac:dyDescent="0.25">
      <c r="A20">
        <v>19</v>
      </c>
      <c r="B20" s="3" t="s">
        <v>1005</v>
      </c>
      <c r="C20" s="13" t="s">
        <v>712</v>
      </c>
    </row>
    <row r="21" spans="1:3" ht="15.75" x14ac:dyDescent="0.25">
      <c r="A21">
        <v>20</v>
      </c>
      <c r="B21" s="3" t="s">
        <v>1007</v>
      </c>
      <c r="C21" s="13" t="s">
        <v>953</v>
      </c>
    </row>
    <row r="22" spans="1:3" ht="15.75" x14ac:dyDescent="0.25">
      <c r="A22">
        <v>21</v>
      </c>
      <c r="B22" s="3" t="s">
        <v>1007</v>
      </c>
      <c r="C22" s="13" t="s">
        <v>843</v>
      </c>
    </row>
    <row r="23" spans="1:3" ht="15.75" x14ac:dyDescent="0.25">
      <c r="A23">
        <v>22</v>
      </c>
      <c r="B23" s="3" t="s">
        <v>1007</v>
      </c>
      <c r="C23" s="13" t="s">
        <v>612</v>
      </c>
    </row>
    <row r="24" spans="1:3" ht="15.75" x14ac:dyDescent="0.25">
      <c r="A24">
        <v>23</v>
      </c>
      <c r="B24" s="3" t="s">
        <v>1007</v>
      </c>
      <c r="C24" s="13" t="s">
        <v>687</v>
      </c>
    </row>
    <row r="25" spans="1:3" ht="15.75" x14ac:dyDescent="0.25">
      <c r="A25">
        <v>24</v>
      </c>
      <c r="B25" s="3" t="s">
        <v>1007</v>
      </c>
      <c r="C25" s="13" t="s">
        <v>711</v>
      </c>
    </row>
    <row r="26" spans="1:3" ht="15.75" x14ac:dyDescent="0.25">
      <c r="A26">
        <v>25</v>
      </c>
      <c r="B26" s="3" t="s">
        <v>1007</v>
      </c>
      <c r="C26" s="13" t="s">
        <v>617</v>
      </c>
    </row>
    <row r="27" spans="1:3" ht="30" x14ac:dyDescent="0.25">
      <c r="A27">
        <v>26</v>
      </c>
      <c r="B27" s="3" t="s">
        <v>1005</v>
      </c>
      <c r="C27" s="13" t="s">
        <v>58</v>
      </c>
    </row>
    <row r="28" spans="1:3" ht="15.75" x14ac:dyDescent="0.25">
      <c r="A28">
        <v>27</v>
      </c>
      <c r="B28" s="3" t="s">
        <v>1007</v>
      </c>
      <c r="C28" s="13" t="s">
        <v>250</v>
      </c>
    </row>
    <row r="29" spans="1:3" ht="63" x14ac:dyDescent="0.25">
      <c r="A29">
        <v>28</v>
      </c>
      <c r="B29" s="3" t="s">
        <v>1008</v>
      </c>
      <c r="C29" s="13" t="s">
        <v>848</v>
      </c>
    </row>
    <row r="30" spans="1:3" ht="63" x14ac:dyDescent="0.25">
      <c r="A30">
        <v>29</v>
      </c>
      <c r="B30" s="3" t="s">
        <v>1008</v>
      </c>
      <c r="C30" s="13" t="s">
        <v>87</v>
      </c>
    </row>
    <row r="31" spans="1:3" ht="63" x14ac:dyDescent="0.25">
      <c r="A31">
        <v>30</v>
      </c>
      <c r="B31" s="3" t="s">
        <v>1009</v>
      </c>
      <c r="C31" s="13" t="s">
        <v>300</v>
      </c>
    </row>
    <row r="32" spans="1:3" ht="63" x14ac:dyDescent="0.25">
      <c r="A32">
        <v>31</v>
      </c>
      <c r="B32" s="3" t="s">
        <v>1008</v>
      </c>
      <c r="C32" s="13" t="s">
        <v>881</v>
      </c>
    </row>
    <row r="33" spans="1:3" ht="47.25" x14ac:dyDescent="0.25">
      <c r="A33">
        <v>32</v>
      </c>
      <c r="B33" s="3" t="s">
        <v>1008</v>
      </c>
      <c r="C33" s="13" t="s">
        <v>623</v>
      </c>
    </row>
    <row r="34" spans="1:3" ht="47.25" x14ac:dyDescent="0.25">
      <c r="A34">
        <v>33</v>
      </c>
      <c r="B34" s="3" t="s">
        <v>1008</v>
      </c>
      <c r="C34" s="13" t="s">
        <v>627</v>
      </c>
    </row>
    <row r="35" spans="1:3" ht="47.25" x14ac:dyDescent="0.25">
      <c r="A35">
        <v>34</v>
      </c>
      <c r="B35" s="3" t="s">
        <v>1008</v>
      </c>
      <c r="C35" s="13" t="s">
        <v>629</v>
      </c>
    </row>
    <row r="36" spans="1:3" ht="47.25" x14ac:dyDescent="0.25">
      <c r="A36">
        <v>35</v>
      </c>
      <c r="B36" s="3" t="s">
        <v>1008</v>
      </c>
      <c r="C36" s="13" t="s">
        <v>633</v>
      </c>
    </row>
    <row r="37" spans="1:3" ht="47.25" x14ac:dyDescent="0.25">
      <c r="A37">
        <v>36</v>
      </c>
      <c r="B37" s="3" t="s">
        <v>1008</v>
      </c>
      <c r="C37" s="13" t="s">
        <v>637</v>
      </c>
    </row>
    <row r="38" spans="1:3" ht="47.25" x14ac:dyDescent="0.25">
      <c r="A38">
        <v>37</v>
      </c>
      <c r="B38" s="3" t="s">
        <v>1008</v>
      </c>
      <c r="C38" s="13" t="s">
        <v>641</v>
      </c>
    </row>
    <row r="39" spans="1:3" ht="47.25" x14ac:dyDescent="0.25">
      <c r="A39">
        <v>38</v>
      </c>
      <c r="B39" s="3" t="s">
        <v>1008</v>
      </c>
      <c r="C39" s="13" t="s">
        <v>648</v>
      </c>
    </row>
    <row r="40" spans="1:3" ht="47.25" x14ac:dyDescent="0.25">
      <c r="A40">
        <v>39</v>
      </c>
      <c r="B40" s="3" t="s">
        <v>1008</v>
      </c>
      <c r="C40" s="13" t="s">
        <v>657</v>
      </c>
    </row>
    <row r="41" spans="1:3" ht="47.25" x14ac:dyDescent="0.25">
      <c r="A41">
        <v>40</v>
      </c>
      <c r="B41" s="3" t="s">
        <v>1008</v>
      </c>
      <c r="C41" s="13" t="s">
        <v>653</v>
      </c>
    </row>
    <row r="42" spans="1:3" ht="47.25" x14ac:dyDescent="0.25">
      <c r="A42">
        <v>41</v>
      </c>
      <c r="B42" s="3" t="s">
        <v>1008</v>
      </c>
      <c r="C42" s="13" t="s">
        <v>618</v>
      </c>
    </row>
    <row r="43" spans="1:3" ht="63" x14ac:dyDescent="0.25">
      <c r="A43">
        <v>42</v>
      </c>
      <c r="B43" s="3" t="s">
        <v>1009</v>
      </c>
      <c r="C43" s="13" t="s">
        <v>722</v>
      </c>
    </row>
    <row r="44" spans="1:3" ht="63" x14ac:dyDescent="0.25">
      <c r="A44">
        <v>43</v>
      </c>
      <c r="B44" s="3" t="s">
        <v>1008</v>
      </c>
      <c r="C44" s="13" t="s">
        <v>813</v>
      </c>
    </row>
    <row r="45" spans="1:3" ht="63" x14ac:dyDescent="0.25">
      <c r="A45">
        <v>44</v>
      </c>
      <c r="B45" s="3" t="s">
        <v>1008</v>
      </c>
      <c r="C45" s="13" t="s">
        <v>817</v>
      </c>
    </row>
    <row r="46" spans="1:3" ht="47.25" x14ac:dyDescent="0.25">
      <c r="A46">
        <v>45</v>
      </c>
      <c r="B46" s="3" t="s">
        <v>1009</v>
      </c>
      <c r="C46" s="13" t="s">
        <v>452</v>
      </c>
    </row>
    <row r="47" spans="1:3" ht="47.25" x14ac:dyDescent="0.25">
      <c r="A47">
        <v>46</v>
      </c>
      <c r="B47" s="3" t="s">
        <v>1009</v>
      </c>
      <c r="C47" s="13" t="s">
        <v>466</v>
      </c>
    </row>
    <row r="48" spans="1:3" ht="63" x14ac:dyDescent="0.25">
      <c r="A48">
        <v>47</v>
      </c>
      <c r="B48" s="3" t="s">
        <v>1009</v>
      </c>
      <c r="C48" s="13" t="s">
        <v>830</v>
      </c>
    </row>
    <row r="49" spans="1:3" ht="78.75" x14ac:dyDescent="0.25">
      <c r="A49">
        <v>48</v>
      </c>
      <c r="B49" s="3" t="s">
        <v>1009</v>
      </c>
      <c r="C49" s="13" t="s">
        <v>837</v>
      </c>
    </row>
    <row r="50" spans="1:3" ht="47.25" x14ac:dyDescent="0.25">
      <c r="A50">
        <v>49</v>
      </c>
      <c r="B50" s="3" t="s">
        <v>1009</v>
      </c>
      <c r="C50" s="13" t="s">
        <v>321</v>
      </c>
    </row>
    <row r="51" spans="1:3" ht="47.25" x14ac:dyDescent="0.25">
      <c r="A51">
        <v>50</v>
      </c>
      <c r="B51" s="3" t="s">
        <v>1008</v>
      </c>
      <c r="C51" s="13" t="s">
        <v>146</v>
      </c>
    </row>
    <row r="52" spans="1:3" ht="47.25" x14ac:dyDescent="0.25">
      <c r="A52">
        <v>51</v>
      </c>
      <c r="B52" s="3" t="s">
        <v>1008</v>
      </c>
      <c r="C52" s="13" t="s">
        <v>121</v>
      </c>
    </row>
    <row r="53" spans="1:3" ht="47.25" x14ac:dyDescent="0.25">
      <c r="A53">
        <v>52</v>
      </c>
      <c r="B53" s="3" t="s">
        <v>1008</v>
      </c>
      <c r="C53" s="13" t="s">
        <v>124</v>
      </c>
    </row>
    <row r="54" spans="1:3" ht="47.25" x14ac:dyDescent="0.25">
      <c r="A54">
        <v>53</v>
      </c>
      <c r="B54" s="3" t="s">
        <v>1008</v>
      </c>
      <c r="C54" s="13" t="s">
        <v>68</v>
      </c>
    </row>
    <row r="55" spans="1:3" ht="31.5" x14ac:dyDescent="0.25">
      <c r="A55">
        <v>54</v>
      </c>
      <c r="B55" s="3" t="s">
        <v>1009</v>
      </c>
      <c r="C55" s="13" t="s">
        <v>333</v>
      </c>
    </row>
    <row r="56" spans="1:3" ht="47.25" x14ac:dyDescent="0.25">
      <c r="A56">
        <v>55</v>
      </c>
      <c r="B56" s="3" t="s">
        <v>1009</v>
      </c>
      <c r="C56" s="13" t="s">
        <v>482</v>
      </c>
    </row>
    <row r="57" spans="1:3" ht="47.25" x14ac:dyDescent="0.25">
      <c r="A57">
        <v>56</v>
      </c>
      <c r="B57" s="3" t="s">
        <v>1009</v>
      </c>
      <c r="C57" s="13" t="s">
        <v>486</v>
      </c>
    </row>
    <row r="58" spans="1:3" ht="47.25" x14ac:dyDescent="0.25">
      <c r="A58">
        <v>57</v>
      </c>
      <c r="B58" s="3" t="s">
        <v>1009</v>
      </c>
      <c r="C58" s="13" t="s">
        <v>491</v>
      </c>
    </row>
    <row r="59" spans="1:3" ht="47.25" x14ac:dyDescent="0.25">
      <c r="A59">
        <v>58</v>
      </c>
      <c r="B59" s="3" t="s">
        <v>1009</v>
      </c>
      <c r="C59" s="13" t="s">
        <v>854</v>
      </c>
    </row>
    <row r="60" spans="1:3" ht="47.25" x14ac:dyDescent="0.25">
      <c r="A60">
        <v>59</v>
      </c>
      <c r="B60" s="3" t="s">
        <v>1008</v>
      </c>
      <c r="C60" s="13" t="s">
        <v>674</v>
      </c>
    </row>
    <row r="61" spans="1:3" ht="63" x14ac:dyDescent="0.25">
      <c r="A61">
        <v>60</v>
      </c>
      <c r="B61" s="3" t="s">
        <v>1008</v>
      </c>
      <c r="C61" s="13" t="s">
        <v>175</v>
      </c>
    </row>
    <row r="62" spans="1:3" ht="47.25" x14ac:dyDescent="0.25">
      <c r="A62">
        <v>61</v>
      </c>
      <c r="B62" s="3" t="s">
        <v>1008</v>
      </c>
      <c r="C62" s="13" t="s">
        <v>181</v>
      </c>
    </row>
    <row r="63" spans="1:3" ht="47.25" x14ac:dyDescent="0.25">
      <c r="A63">
        <v>62</v>
      </c>
      <c r="B63" s="3" t="s">
        <v>1008</v>
      </c>
      <c r="C63" s="13" t="s">
        <v>677</v>
      </c>
    </row>
    <row r="64" spans="1:3" ht="47.25" x14ac:dyDescent="0.25">
      <c r="A64">
        <v>63</v>
      </c>
      <c r="B64" s="3" t="s">
        <v>1008</v>
      </c>
      <c r="C64" s="13" t="s">
        <v>682</v>
      </c>
    </row>
    <row r="65" spans="1:3" ht="47.25" x14ac:dyDescent="0.25">
      <c r="A65">
        <v>64</v>
      </c>
      <c r="B65" s="3" t="s">
        <v>1009</v>
      </c>
      <c r="C65" s="13" t="s">
        <v>349</v>
      </c>
    </row>
    <row r="66" spans="1:3" ht="63" x14ac:dyDescent="0.25">
      <c r="A66">
        <v>65</v>
      </c>
      <c r="B66" s="3" t="s">
        <v>1009</v>
      </c>
      <c r="C66" s="13" t="s">
        <v>886</v>
      </c>
    </row>
    <row r="67" spans="1:3" ht="47.25" x14ac:dyDescent="0.25">
      <c r="A67">
        <v>66</v>
      </c>
      <c r="B67" s="3" t="s">
        <v>1009</v>
      </c>
      <c r="C67" s="13" t="s">
        <v>891</v>
      </c>
    </row>
    <row r="68" spans="1:3" ht="47.25" x14ac:dyDescent="0.25">
      <c r="A68">
        <v>67</v>
      </c>
      <c r="B68" s="3" t="s">
        <v>1009</v>
      </c>
      <c r="C68" s="13" t="s">
        <v>512</v>
      </c>
    </row>
    <row r="69" spans="1:3" ht="47.25" x14ac:dyDescent="0.25">
      <c r="A69">
        <v>68</v>
      </c>
      <c r="B69" s="3" t="s">
        <v>1008</v>
      </c>
      <c r="C69" s="13" t="s">
        <v>691</v>
      </c>
    </row>
    <row r="70" spans="1:3" ht="63" x14ac:dyDescent="0.25">
      <c r="A70">
        <v>69</v>
      </c>
      <c r="B70" s="3" t="s">
        <v>1008</v>
      </c>
      <c r="C70" s="13" t="s">
        <v>216</v>
      </c>
    </row>
    <row r="71" spans="1:3" ht="63" x14ac:dyDescent="0.25">
      <c r="A71">
        <v>70</v>
      </c>
      <c r="B71" s="3" t="s">
        <v>1008</v>
      </c>
      <c r="C71" s="13" t="s">
        <v>860</v>
      </c>
    </row>
    <row r="72" spans="1:3" ht="63" x14ac:dyDescent="0.25">
      <c r="A72">
        <v>71</v>
      </c>
      <c r="B72" s="3" t="s">
        <v>1009</v>
      </c>
      <c r="C72" s="13" t="s">
        <v>211</v>
      </c>
    </row>
    <row r="73" spans="1:3" ht="47.25" x14ac:dyDescent="0.25">
      <c r="A73">
        <v>72</v>
      </c>
      <c r="B73" s="3" t="s">
        <v>1009</v>
      </c>
      <c r="C73" s="13" t="s">
        <v>550</v>
      </c>
    </row>
    <row r="74" spans="1:3" ht="47.25" x14ac:dyDescent="0.25">
      <c r="A74">
        <v>73</v>
      </c>
      <c r="B74" s="3" t="s">
        <v>1009</v>
      </c>
      <c r="C74" s="13" t="s">
        <v>554</v>
      </c>
    </row>
    <row r="75" spans="1:3" ht="47.25" x14ac:dyDescent="0.25">
      <c r="A75">
        <v>74</v>
      </c>
      <c r="B75" s="3" t="s">
        <v>1009</v>
      </c>
      <c r="C75" s="13" t="s">
        <v>557</v>
      </c>
    </row>
    <row r="76" spans="1:3" ht="63" x14ac:dyDescent="0.25">
      <c r="A76">
        <v>75</v>
      </c>
      <c r="B76" s="3" t="s">
        <v>1009</v>
      </c>
      <c r="C76" s="13" t="s">
        <v>561</v>
      </c>
    </row>
    <row r="77" spans="1:3" ht="47.25" x14ac:dyDescent="0.25">
      <c r="A77">
        <v>76</v>
      </c>
      <c r="B77" s="3" t="s">
        <v>1009</v>
      </c>
      <c r="C77" s="13" t="s">
        <v>382</v>
      </c>
    </row>
    <row r="78" spans="1:3" ht="63" x14ac:dyDescent="0.25">
      <c r="A78">
        <v>77</v>
      </c>
      <c r="B78" s="3" t="s">
        <v>1008</v>
      </c>
      <c r="C78" s="13" t="s">
        <v>95</v>
      </c>
    </row>
    <row r="79" spans="1:3" ht="47.25" x14ac:dyDescent="0.25">
      <c r="A79">
        <v>78</v>
      </c>
      <c r="B79" s="3" t="s">
        <v>1008</v>
      </c>
      <c r="C79" s="13" t="s">
        <v>100</v>
      </c>
    </row>
    <row r="80" spans="1:3" ht="47.25" x14ac:dyDescent="0.25">
      <c r="A80">
        <v>79</v>
      </c>
      <c r="B80" s="3" t="s">
        <v>1009</v>
      </c>
      <c r="C80" s="13" t="s">
        <v>403</v>
      </c>
    </row>
    <row r="81" spans="1:3" ht="47.25" x14ac:dyDescent="0.25">
      <c r="A81">
        <v>80</v>
      </c>
      <c r="B81" s="3" t="s">
        <v>1009</v>
      </c>
      <c r="C81" s="13" t="s">
        <v>388</v>
      </c>
    </row>
    <row r="82" spans="1:3" ht="63" x14ac:dyDescent="0.25">
      <c r="A82">
        <v>81</v>
      </c>
      <c r="B82" s="3" t="s">
        <v>1009</v>
      </c>
      <c r="C82" s="13" t="s">
        <v>524</v>
      </c>
    </row>
    <row r="83" spans="1:3" ht="63" x14ac:dyDescent="0.25">
      <c r="A83">
        <v>82</v>
      </c>
      <c r="B83" s="3" t="s">
        <v>1009</v>
      </c>
      <c r="C83" s="13" t="s">
        <v>531</v>
      </c>
    </row>
    <row r="84" spans="1:3" ht="63" x14ac:dyDescent="0.25">
      <c r="A84">
        <v>83</v>
      </c>
      <c r="B84" s="3" t="s">
        <v>1009</v>
      </c>
      <c r="C84" s="13" t="s">
        <v>536</v>
      </c>
    </row>
    <row r="85" spans="1:3" ht="47.25" x14ac:dyDescent="0.25">
      <c r="A85">
        <v>84</v>
      </c>
      <c r="B85" s="3" t="s">
        <v>1008</v>
      </c>
      <c r="C85" s="13" t="s">
        <v>699</v>
      </c>
    </row>
    <row r="86" spans="1:3" ht="47.25" x14ac:dyDescent="0.25">
      <c r="A86">
        <v>85</v>
      </c>
      <c r="B86" s="3" t="s">
        <v>1009</v>
      </c>
      <c r="C86" s="13" t="s">
        <v>427</v>
      </c>
    </row>
    <row r="87" spans="1:3" ht="63" x14ac:dyDescent="0.25">
      <c r="A87">
        <v>86</v>
      </c>
      <c r="B87" s="3" t="s">
        <v>1009</v>
      </c>
      <c r="C87" s="13" t="s">
        <v>764</v>
      </c>
    </row>
    <row r="88" spans="1:3" ht="63" x14ac:dyDescent="0.25">
      <c r="A88">
        <v>87</v>
      </c>
      <c r="B88" s="3" t="s">
        <v>1008</v>
      </c>
      <c r="C88" s="13" t="s">
        <v>115</v>
      </c>
    </row>
    <row r="89" spans="1:3" ht="63" x14ac:dyDescent="0.25">
      <c r="A89">
        <v>88</v>
      </c>
      <c r="B89" s="3" t="s">
        <v>1008</v>
      </c>
      <c r="C89" s="13" t="s">
        <v>236</v>
      </c>
    </row>
    <row r="90" spans="1:3" ht="78.75" x14ac:dyDescent="0.25">
      <c r="A90">
        <v>89</v>
      </c>
      <c r="B90" s="3" t="s">
        <v>1009</v>
      </c>
      <c r="C90" s="13" t="s">
        <v>898</v>
      </c>
    </row>
    <row r="91" spans="1:3" ht="78.75" x14ac:dyDescent="0.25">
      <c r="A91">
        <v>90</v>
      </c>
      <c r="B91" s="3" t="s">
        <v>1009</v>
      </c>
      <c r="C91" s="13" t="s">
        <v>903</v>
      </c>
    </row>
    <row r="92" spans="1:3" ht="47.25" x14ac:dyDescent="0.25">
      <c r="A92">
        <v>91</v>
      </c>
      <c r="B92" s="3" t="s">
        <v>1009</v>
      </c>
      <c r="C92" s="13" t="s">
        <v>441</v>
      </c>
    </row>
    <row r="93" spans="1:3" ht="63" x14ac:dyDescent="0.25">
      <c r="A93">
        <v>92</v>
      </c>
      <c r="B93" s="3" t="s">
        <v>1009</v>
      </c>
      <c r="C93" s="13" t="s">
        <v>920</v>
      </c>
    </row>
    <row r="94" spans="1:3" ht="63" x14ac:dyDescent="0.25">
      <c r="A94">
        <v>93</v>
      </c>
      <c r="B94" s="3" t="s">
        <v>1008</v>
      </c>
      <c r="C94" s="13" t="s">
        <v>926</v>
      </c>
    </row>
    <row r="95" spans="1:3" ht="47.25" x14ac:dyDescent="0.25">
      <c r="A95">
        <v>94</v>
      </c>
      <c r="B95" s="3" t="s">
        <v>1009</v>
      </c>
      <c r="C95" s="13" t="s">
        <v>932</v>
      </c>
    </row>
    <row r="96" spans="1:3" ht="63" x14ac:dyDescent="0.25">
      <c r="A96">
        <v>95</v>
      </c>
      <c r="B96" s="3" t="s">
        <v>1009</v>
      </c>
      <c r="C96" s="13" t="s">
        <v>940</v>
      </c>
    </row>
    <row r="97" spans="1:3" ht="47.25" x14ac:dyDescent="0.25">
      <c r="A97">
        <v>96</v>
      </c>
      <c r="B97" s="3" t="s">
        <v>1009</v>
      </c>
      <c r="C97" s="13" t="s">
        <v>945</v>
      </c>
    </row>
    <row r="98" spans="1:3" ht="47.25" x14ac:dyDescent="0.25">
      <c r="A98">
        <v>97</v>
      </c>
      <c r="B98" s="3" t="s">
        <v>1009</v>
      </c>
      <c r="C98" s="13" t="s">
        <v>948</v>
      </c>
    </row>
    <row r="99" spans="1:3" ht="63" x14ac:dyDescent="0.25">
      <c r="A99">
        <v>98</v>
      </c>
      <c r="B99" s="3" t="s">
        <v>1008</v>
      </c>
      <c r="C99" s="13" t="s">
        <v>955</v>
      </c>
    </row>
    <row r="100" spans="1:3" ht="47.25" x14ac:dyDescent="0.25">
      <c r="A100">
        <v>99</v>
      </c>
      <c r="B100" s="3" t="s">
        <v>1009</v>
      </c>
      <c r="C100" s="13" t="s">
        <v>959</v>
      </c>
    </row>
    <row r="101" spans="1:3" ht="47.25" x14ac:dyDescent="0.25">
      <c r="A101">
        <v>100</v>
      </c>
      <c r="B101" s="3" t="s">
        <v>1009</v>
      </c>
      <c r="C101" s="13" t="s">
        <v>967</v>
      </c>
    </row>
    <row r="102" spans="1:3" ht="63" x14ac:dyDescent="0.25">
      <c r="A102">
        <v>101</v>
      </c>
      <c r="B102" s="3" t="s">
        <v>1009</v>
      </c>
      <c r="C102" s="13" t="s">
        <v>972</v>
      </c>
    </row>
    <row r="103" spans="1:3" ht="63" x14ac:dyDescent="0.25">
      <c r="A103">
        <v>102</v>
      </c>
      <c r="B103" s="3" t="s">
        <v>1009</v>
      </c>
      <c r="C103" s="13" t="s">
        <v>975</v>
      </c>
    </row>
    <row r="104" spans="1:3" ht="63" x14ac:dyDescent="0.25">
      <c r="A104">
        <v>103</v>
      </c>
      <c r="B104" s="3" t="s">
        <v>1009</v>
      </c>
      <c r="C104" s="13" t="s">
        <v>979</v>
      </c>
    </row>
    <row r="105" spans="1:3" ht="63" x14ac:dyDescent="0.25">
      <c r="A105">
        <v>104</v>
      </c>
      <c r="B105" s="3" t="s">
        <v>1009</v>
      </c>
      <c r="C105" s="13" t="s">
        <v>984</v>
      </c>
    </row>
    <row r="106" spans="1:3" ht="63" x14ac:dyDescent="0.25">
      <c r="A106">
        <v>105</v>
      </c>
      <c r="B106" s="3" t="s">
        <v>1008</v>
      </c>
      <c r="C106" s="13" t="s">
        <v>864</v>
      </c>
    </row>
    <row r="107" spans="1:3" ht="47.25" x14ac:dyDescent="0.25">
      <c r="A107">
        <v>106</v>
      </c>
      <c r="B107" s="3" t="s">
        <v>1009</v>
      </c>
      <c r="C107" s="13" t="s">
        <v>908</v>
      </c>
    </row>
    <row r="108" spans="1:3" ht="63" x14ac:dyDescent="0.25">
      <c r="A108">
        <v>107</v>
      </c>
      <c r="B108" s="3" t="s">
        <v>1009</v>
      </c>
      <c r="C108" s="13" t="s">
        <v>914</v>
      </c>
    </row>
    <row r="109" spans="1:3" ht="63" x14ac:dyDescent="0.25">
      <c r="A109">
        <v>108</v>
      </c>
      <c r="B109" s="3" t="s">
        <v>1008</v>
      </c>
      <c r="C109" s="13" t="s">
        <v>869</v>
      </c>
    </row>
    <row r="110" spans="1:3" ht="47.25" x14ac:dyDescent="0.25">
      <c r="A110">
        <v>109</v>
      </c>
      <c r="B110" s="3" t="s">
        <v>1009</v>
      </c>
      <c r="C110" s="13" t="s">
        <v>807</v>
      </c>
    </row>
    <row r="111" spans="1:3" ht="47.25" x14ac:dyDescent="0.25">
      <c r="A111">
        <v>110</v>
      </c>
      <c r="B111" s="3" t="s">
        <v>1008</v>
      </c>
      <c r="C111" s="13" t="s">
        <v>715</v>
      </c>
    </row>
    <row r="112" spans="1:3" ht="47.25" x14ac:dyDescent="0.25">
      <c r="A112">
        <v>111</v>
      </c>
      <c r="B112" s="3" t="s">
        <v>1008</v>
      </c>
      <c r="C112" s="13" t="s">
        <v>704</v>
      </c>
    </row>
    <row r="113" spans="1:3" ht="47.25" x14ac:dyDescent="0.25">
      <c r="A113">
        <v>112</v>
      </c>
      <c r="B113" s="3" t="s">
        <v>1009</v>
      </c>
      <c r="C113" s="13" t="s">
        <v>802</v>
      </c>
    </row>
    <row r="114" spans="1:3" ht="47.25" x14ac:dyDescent="0.25">
      <c r="A114">
        <v>113</v>
      </c>
      <c r="B114" s="3" t="s">
        <v>1009</v>
      </c>
      <c r="C114" s="13" t="s">
        <v>769</v>
      </c>
    </row>
    <row r="115" spans="1:3" ht="63" x14ac:dyDescent="0.25">
      <c r="A115">
        <v>114</v>
      </c>
      <c r="B115" s="3" t="s">
        <v>1009</v>
      </c>
      <c r="C115" s="13" t="s">
        <v>540</v>
      </c>
    </row>
    <row r="116" spans="1:3" ht="30" x14ac:dyDescent="0.25">
      <c r="A116">
        <v>115</v>
      </c>
      <c r="B116" s="3" t="s">
        <v>1009</v>
      </c>
      <c r="C116" s="13" t="s">
        <v>231</v>
      </c>
    </row>
    <row r="117" spans="1:3" ht="30" x14ac:dyDescent="0.25">
      <c r="A117">
        <v>116</v>
      </c>
      <c r="B117" s="3" t="s">
        <v>1009</v>
      </c>
      <c r="C117" s="13" t="s">
        <v>782</v>
      </c>
    </row>
    <row r="118" spans="1:3" ht="30" x14ac:dyDescent="0.25">
      <c r="A118">
        <v>117</v>
      </c>
      <c r="B118" s="3" t="s">
        <v>1009</v>
      </c>
      <c r="C118" s="13" t="s">
        <v>776</v>
      </c>
    </row>
    <row r="119" spans="1:3" ht="15.75" x14ac:dyDescent="0.25">
      <c r="A119">
        <v>118</v>
      </c>
      <c r="B119" s="3" t="s">
        <v>1008</v>
      </c>
      <c r="C119" s="13" t="s">
        <v>665</v>
      </c>
    </row>
    <row r="120" spans="1:3" ht="15.75" x14ac:dyDescent="0.25">
      <c r="A120">
        <v>119</v>
      </c>
      <c r="B120" s="3" t="s">
        <v>1008</v>
      </c>
      <c r="C120" s="13" t="s">
        <v>252</v>
      </c>
    </row>
    <row r="121" spans="1:3" ht="30" x14ac:dyDescent="0.25">
      <c r="A121">
        <v>120</v>
      </c>
      <c r="B121" s="3" t="s">
        <v>1009</v>
      </c>
      <c r="C121" s="13" t="s">
        <v>163</v>
      </c>
    </row>
    <row r="122" spans="1:3" ht="30" x14ac:dyDescent="0.25">
      <c r="A122">
        <v>121</v>
      </c>
      <c r="B122" s="3" t="s">
        <v>1010</v>
      </c>
      <c r="C122" s="13" t="s">
        <v>844</v>
      </c>
    </row>
    <row r="123" spans="1:3" ht="30" x14ac:dyDescent="0.25">
      <c r="A123">
        <v>122</v>
      </c>
      <c r="B123" s="3" t="s">
        <v>1009</v>
      </c>
      <c r="C123" s="13" t="s">
        <v>757</v>
      </c>
    </row>
    <row r="124" spans="1:3" ht="30" x14ac:dyDescent="0.25">
      <c r="A124">
        <v>123</v>
      </c>
      <c r="B124" s="3" t="s">
        <v>1009</v>
      </c>
      <c r="C124" s="13" t="s">
        <v>518</v>
      </c>
    </row>
    <row r="125" spans="1:3" ht="30" x14ac:dyDescent="0.25">
      <c r="A125">
        <v>124</v>
      </c>
      <c r="B125" s="3" t="s">
        <v>1009</v>
      </c>
      <c r="C125" s="13" t="s">
        <v>399</v>
      </c>
    </row>
    <row r="126" spans="1:3" ht="30" x14ac:dyDescent="0.25">
      <c r="A126">
        <v>125</v>
      </c>
      <c r="B126" s="3" t="s">
        <v>1009</v>
      </c>
      <c r="C126" s="13" t="s">
        <v>459</v>
      </c>
    </row>
    <row r="127" spans="1:3" ht="30" x14ac:dyDescent="0.25">
      <c r="A127">
        <v>126</v>
      </c>
      <c r="B127" s="3" t="s">
        <v>1009</v>
      </c>
      <c r="C127" s="13" t="s">
        <v>151</v>
      </c>
    </row>
    <row r="128" spans="1:3" ht="30" x14ac:dyDescent="0.25">
      <c r="A128">
        <v>127</v>
      </c>
      <c r="B128" s="3" t="s">
        <v>1009</v>
      </c>
      <c r="C128" s="13" t="s">
        <v>501</v>
      </c>
    </row>
    <row r="129" spans="1:3" ht="30" x14ac:dyDescent="0.25">
      <c r="A129">
        <v>128</v>
      </c>
      <c r="B129" s="3" t="s">
        <v>1009</v>
      </c>
      <c r="C129" s="13" t="s">
        <v>129</v>
      </c>
    </row>
    <row r="130" spans="1:3" ht="15.75" x14ac:dyDescent="0.25">
      <c r="A130">
        <v>129</v>
      </c>
      <c r="B130" s="3" t="s">
        <v>1008</v>
      </c>
      <c r="C130" s="13" t="s">
        <v>80</v>
      </c>
    </row>
    <row r="131" spans="1:3" ht="30" x14ac:dyDescent="0.25">
      <c r="A131">
        <v>130</v>
      </c>
      <c r="B131" s="3" t="s">
        <v>1009</v>
      </c>
      <c r="C131" s="13" t="s">
        <v>823</v>
      </c>
    </row>
    <row r="132" spans="1:3" ht="30" x14ac:dyDescent="0.25">
      <c r="A132">
        <v>131</v>
      </c>
      <c r="B132" s="3" t="s">
        <v>1009</v>
      </c>
      <c r="C132" s="13" t="s">
        <v>393</v>
      </c>
    </row>
    <row r="133" spans="1:3" ht="30" x14ac:dyDescent="0.25">
      <c r="A133">
        <v>132</v>
      </c>
      <c r="B133" s="3" t="s">
        <v>1009</v>
      </c>
      <c r="C133" s="13" t="s">
        <v>192</v>
      </c>
    </row>
    <row r="134" spans="1:3" ht="30" x14ac:dyDescent="0.25">
      <c r="A134">
        <v>133</v>
      </c>
      <c r="B134" s="3" t="s">
        <v>1009</v>
      </c>
      <c r="C134" s="13" t="s">
        <v>409</v>
      </c>
    </row>
    <row r="135" spans="1:3" ht="30" x14ac:dyDescent="0.25">
      <c r="A135">
        <v>134</v>
      </c>
      <c r="B135" s="3" t="s">
        <v>1009</v>
      </c>
      <c r="C135" s="13" t="s">
        <v>355</v>
      </c>
    </row>
    <row r="136" spans="1:3" ht="30" x14ac:dyDescent="0.25">
      <c r="A136">
        <v>135</v>
      </c>
      <c r="B136" s="3" t="s">
        <v>1009</v>
      </c>
      <c r="C136" s="13" t="s">
        <v>363</v>
      </c>
    </row>
    <row r="137" spans="1:3" ht="30" x14ac:dyDescent="0.25">
      <c r="A137">
        <v>136</v>
      </c>
      <c r="B137" s="3" t="s">
        <v>1009</v>
      </c>
      <c r="C137" s="13" t="s">
        <v>736</v>
      </c>
    </row>
    <row r="138" spans="1:3" ht="30" x14ac:dyDescent="0.25">
      <c r="A138">
        <v>137</v>
      </c>
      <c r="B138" s="3" t="s">
        <v>1009</v>
      </c>
      <c r="C138" s="13" t="s">
        <v>600</v>
      </c>
    </row>
    <row r="139" spans="1:3" ht="30" x14ac:dyDescent="0.25">
      <c r="A139">
        <v>138</v>
      </c>
      <c r="B139" s="3" t="s">
        <v>1009</v>
      </c>
      <c r="C139" s="13" t="s">
        <v>506</v>
      </c>
    </row>
    <row r="140" spans="1:3" ht="15.75" x14ac:dyDescent="0.25">
      <c r="A140">
        <v>139</v>
      </c>
      <c r="B140" s="3" t="s">
        <v>1008</v>
      </c>
      <c r="C140" s="13" t="s">
        <v>110</v>
      </c>
    </row>
    <row r="141" spans="1:3" ht="30" x14ac:dyDescent="0.25">
      <c r="A141">
        <v>140</v>
      </c>
      <c r="B141" s="3" t="s">
        <v>1009</v>
      </c>
      <c r="C141" s="13" t="s">
        <v>188</v>
      </c>
    </row>
    <row r="142" spans="1:3" ht="30" x14ac:dyDescent="0.25">
      <c r="A142">
        <v>141</v>
      </c>
      <c r="B142" s="3" t="s">
        <v>1009</v>
      </c>
      <c r="C142" s="13" t="s">
        <v>339</v>
      </c>
    </row>
    <row r="143" spans="1:3" ht="30" x14ac:dyDescent="0.25">
      <c r="A143">
        <v>142</v>
      </c>
      <c r="B143" s="3" t="s">
        <v>1009</v>
      </c>
      <c r="C143" s="13" t="s">
        <v>367</v>
      </c>
    </row>
    <row r="144" spans="1:3" ht="30" x14ac:dyDescent="0.25">
      <c r="A144">
        <v>143</v>
      </c>
      <c r="B144" s="3" t="s">
        <v>1009</v>
      </c>
      <c r="C144" s="13" t="s">
        <v>567</v>
      </c>
    </row>
    <row r="145" spans="1:3" ht="15.75" x14ac:dyDescent="0.25">
      <c r="A145">
        <v>144</v>
      </c>
      <c r="B145" s="3" t="s">
        <v>1008</v>
      </c>
      <c r="C145" s="13" t="s">
        <v>688</v>
      </c>
    </row>
    <row r="146" spans="1:3" ht="30" x14ac:dyDescent="0.25">
      <c r="A146">
        <v>145</v>
      </c>
      <c r="B146" s="3" t="s">
        <v>1009</v>
      </c>
      <c r="C146" s="13" t="s">
        <v>436</v>
      </c>
    </row>
    <row r="147" spans="1:3" ht="30" x14ac:dyDescent="0.25">
      <c r="A147">
        <v>146</v>
      </c>
      <c r="B147" s="3" t="s">
        <v>1009</v>
      </c>
      <c r="C147" s="13" t="s">
        <v>414</v>
      </c>
    </row>
    <row r="148" spans="1:3" ht="15.75" x14ac:dyDescent="0.25">
      <c r="A148">
        <v>147</v>
      </c>
      <c r="B148" s="3" t="s">
        <v>1008</v>
      </c>
      <c r="C148" s="13" t="s">
        <v>59</v>
      </c>
    </row>
    <row r="149" spans="1:3" ht="30" x14ac:dyDescent="0.25">
      <c r="A149">
        <v>148</v>
      </c>
      <c r="B149" s="3" t="s">
        <v>1009</v>
      </c>
      <c r="C149" s="13" t="s">
        <v>142</v>
      </c>
    </row>
    <row r="150" spans="1:3" ht="15.75" x14ac:dyDescent="0.25">
      <c r="A150">
        <v>149</v>
      </c>
      <c r="B150" s="3" t="s">
        <v>1008</v>
      </c>
      <c r="C150" s="13" t="s">
        <v>672</v>
      </c>
    </row>
    <row r="151" spans="1:3" ht="15.75" x14ac:dyDescent="0.25">
      <c r="A151">
        <v>150</v>
      </c>
      <c r="B151" s="3" t="s">
        <v>1008</v>
      </c>
      <c r="C151" s="13" t="s">
        <v>287</v>
      </c>
    </row>
    <row r="152" spans="1:3" ht="30" x14ac:dyDescent="0.25">
      <c r="A152">
        <v>151</v>
      </c>
      <c r="B152" s="3" t="s">
        <v>1009</v>
      </c>
      <c r="C152" s="13" t="s">
        <v>546</v>
      </c>
    </row>
    <row r="153" spans="1:3" ht="30" x14ac:dyDescent="0.25">
      <c r="A153">
        <v>152</v>
      </c>
      <c r="B153" s="3" t="s">
        <v>1009</v>
      </c>
      <c r="C153" s="13" t="s">
        <v>269</v>
      </c>
    </row>
    <row r="154" spans="1:3" ht="30" x14ac:dyDescent="0.25">
      <c r="A154">
        <v>153</v>
      </c>
      <c r="B154" s="3" t="s">
        <v>1009</v>
      </c>
      <c r="C154" s="13" t="s">
        <v>581</v>
      </c>
    </row>
    <row r="155" spans="1:3" ht="30" x14ac:dyDescent="0.25">
      <c r="A155">
        <v>154</v>
      </c>
      <c r="B155" s="3" t="s">
        <v>1009</v>
      </c>
      <c r="C155" s="13" t="s">
        <v>378</v>
      </c>
    </row>
    <row r="156" spans="1:3" ht="30" x14ac:dyDescent="0.25">
      <c r="A156">
        <v>155</v>
      </c>
      <c r="B156" s="3" t="s">
        <v>1009</v>
      </c>
      <c r="C156" s="13" t="s">
        <v>293</v>
      </c>
    </row>
    <row r="157" spans="1:3" ht="15.75" x14ac:dyDescent="0.25">
      <c r="A157">
        <v>156</v>
      </c>
      <c r="B157" s="3" t="s">
        <v>1008</v>
      </c>
      <c r="C157" s="13" t="s">
        <v>877</v>
      </c>
    </row>
    <row r="158" spans="1:3" ht="30" x14ac:dyDescent="0.25">
      <c r="A158">
        <v>157</v>
      </c>
      <c r="B158" s="3" t="s">
        <v>1009</v>
      </c>
      <c r="C158" s="13" t="s">
        <v>198</v>
      </c>
    </row>
    <row r="159" spans="1:3" ht="30" x14ac:dyDescent="0.25">
      <c r="A159">
        <v>158</v>
      </c>
      <c r="B159" s="3" t="s">
        <v>1009</v>
      </c>
      <c r="C159" s="13" t="s">
        <v>750</v>
      </c>
    </row>
    <row r="160" spans="1:3" ht="30" x14ac:dyDescent="0.25">
      <c r="A160">
        <v>159</v>
      </c>
      <c r="B160" s="3" t="s">
        <v>1009</v>
      </c>
      <c r="C160" s="13" t="s">
        <v>729</v>
      </c>
    </row>
    <row r="161" spans="1:3" ht="30" x14ac:dyDescent="0.25">
      <c r="A161">
        <v>160</v>
      </c>
      <c r="B161" s="3" t="s">
        <v>1009</v>
      </c>
      <c r="C161" s="13" t="s">
        <v>310</v>
      </c>
    </row>
    <row r="162" spans="1:3" ht="30" x14ac:dyDescent="0.25">
      <c r="A162">
        <v>161</v>
      </c>
      <c r="B162" s="3" t="s">
        <v>1009</v>
      </c>
      <c r="C162" s="13" t="s">
        <v>796</v>
      </c>
    </row>
    <row r="163" spans="1:3" ht="30" x14ac:dyDescent="0.25">
      <c r="A163">
        <v>162</v>
      </c>
      <c r="B163" s="3" t="s">
        <v>1009</v>
      </c>
      <c r="C163" s="13" t="s">
        <v>313</v>
      </c>
    </row>
    <row r="164" spans="1:3" ht="30" x14ac:dyDescent="0.25">
      <c r="A164">
        <v>163</v>
      </c>
      <c r="B164" s="3" t="s">
        <v>1009</v>
      </c>
      <c r="C164" s="13" t="s">
        <v>423</v>
      </c>
    </row>
    <row r="165" spans="1:3" ht="30" x14ac:dyDescent="0.25">
      <c r="A165">
        <v>164</v>
      </c>
      <c r="B165" s="3" t="s">
        <v>1009</v>
      </c>
      <c r="C165" s="13" t="s">
        <v>327</v>
      </c>
    </row>
    <row r="166" spans="1:3" ht="30" x14ac:dyDescent="0.25">
      <c r="A166">
        <v>165</v>
      </c>
      <c r="B166" s="3" t="s">
        <v>1009</v>
      </c>
      <c r="C166" s="13" t="s">
        <v>343</v>
      </c>
    </row>
    <row r="167" spans="1:3" ht="30" x14ac:dyDescent="0.25">
      <c r="A167">
        <v>166</v>
      </c>
      <c r="B167" s="3" t="s">
        <v>1009</v>
      </c>
      <c r="C167" s="13" t="s">
        <v>373</v>
      </c>
    </row>
    <row r="168" spans="1:3" ht="30" x14ac:dyDescent="0.25">
      <c r="A168">
        <v>167</v>
      </c>
      <c r="B168" s="3" t="s">
        <v>1009</v>
      </c>
      <c r="C168" s="13" t="s">
        <v>588</v>
      </c>
    </row>
    <row r="169" spans="1:3" ht="30" x14ac:dyDescent="0.25">
      <c r="A169">
        <v>168</v>
      </c>
      <c r="B169" s="3" t="s">
        <v>1009</v>
      </c>
      <c r="C169" s="13" t="s">
        <v>275</v>
      </c>
    </row>
    <row r="170" spans="1:3" ht="30" x14ac:dyDescent="0.25">
      <c r="A170">
        <v>169</v>
      </c>
      <c r="B170" s="3" t="s">
        <v>1009</v>
      </c>
      <c r="C170" s="13" t="s">
        <v>594</v>
      </c>
    </row>
    <row r="171" spans="1:3" ht="30" x14ac:dyDescent="0.25">
      <c r="A171">
        <v>170</v>
      </c>
      <c r="B171" s="3" t="s">
        <v>1009</v>
      </c>
      <c r="C171" s="13" t="s">
        <v>279</v>
      </c>
    </row>
    <row r="172" spans="1:3" ht="15.75" x14ac:dyDescent="0.25">
      <c r="A172">
        <v>171</v>
      </c>
      <c r="B172" s="3" t="s">
        <v>1008</v>
      </c>
      <c r="C172" s="13" t="s">
        <v>613</v>
      </c>
    </row>
    <row r="173" spans="1:3" ht="30" x14ac:dyDescent="0.25">
      <c r="A173">
        <v>172</v>
      </c>
      <c r="B173" s="3" t="s">
        <v>1009</v>
      </c>
      <c r="C173" s="13" t="s">
        <v>242</v>
      </c>
    </row>
    <row r="174" spans="1:3" ht="30" x14ac:dyDescent="0.25">
      <c r="A174">
        <v>173</v>
      </c>
      <c r="B174" s="3" t="s">
        <v>1009</v>
      </c>
      <c r="C174" s="13" t="s">
        <v>576</v>
      </c>
    </row>
    <row r="175" spans="1:3" ht="30" x14ac:dyDescent="0.25">
      <c r="A175">
        <v>174</v>
      </c>
      <c r="B175" s="3" t="s">
        <v>1009</v>
      </c>
      <c r="C175" s="13" t="s">
        <v>432</v>
      </c>
    </row>
    <row r="176" spans="1:3" ht="30" x14ac:dyDescent="0.25">
      <c r="A176">
        <v>175</v>
      </c>
      <c r="B176" s="3" t="s">
        <v>1009</v>
      </c>
      <c r="C176" s="13" t="s">
        <v>223</v>
      </c>
    </row>
    <row r="177" spans="1:3" ht="30" x14ac:dyDescent="0.25">
      <c r="A177">
        <v>176</v>
      </c>
      <c r="B177" s="3" t="s">
        <v>1009</v>
      </c>
      <c r="C177" s="13" t="s">
        <v>158</v>
      </c>
    </row>
    <row r="178" spans="1:3" ht="15.75" x14ac:dyDescent="0.25">
      <c r="A178">
        <v>177</v>
      </c>
      <c r="B178" s="3" t="s">
        <v>1008</v>
      </c>
      <c r="C178" s="13" t="s">
        <v>697</v>
      </c>
    </row>
    <row r="179" spans="1:3" ht="30" x14ac:dyDescent="0.25">
      <c r="A179">
        <v>178</v>
      </c>
      <c r="B179" s="3" t="s">
        <v>1009</v>
      </c>
      <c r="C179" s="13" t="s">
        <v>444</v>
      </c>
    </row>
    <row r="180" spans="1:3" ht="30" x14ac:dyDescent="0.25">
      <c r="A180">
        <v>179</v>
      </c>
      <c r="B180" s="3" t="s">
        <v>1009</v>
      </c>
      <c r="C180" s="13" t="s">
        <v>469</v>
      </c>
    </row>
    <row r="181" spans="1:3" ht="30" x14ac:dyDescent="0.25">
      <c r="A181">
        <v>180</v>
      </c>
      <c r="B181" s="3" t="s">
        <v>1009</v>
      </c>
      <c r="C181" s="13" t="s">
        <v>260</v>
      </c>
    </row>
    <row r="182" spans="1:3" ht="30" x14ac:dyDescent="0.25">
      <c r="A182">
        <v>181</v>
      </c>
      <c r="B182" s="3" t="s">
        <v>1009</v>
      </c>
      <c r="C182" s="13" t="s">
        <v>305</v>
      </c>
    </row>
    <row r="183" spans="1:3" ht="30" x14ac:dyDescent="0.25">
      <c r="A183">
        <v>182</v>
      </c>
      <c r="B183" s="3" t="s">
        <v>1009</v>
      </c>
      <c r="C183" s="13" t="s">
        <v>476</v>
      </c>
    </row>
    <row r="184" spans="1:3" ht="30" x14ac:dyDescent="0.25">
      <c r="A184">
        <v>183</v>
      </c>
      <c r="B184" s="3" t="s">
        <v>1009</v>
      </c>
      <c r="C184" s="13" t="s">
        <v>263</v>
      </c>
    </row>
    <row r="185" spans="1:3" ht="30" x14ac:dyDescent="0.25">
      <c r="A185">
        <v>184</v>
      </c>
      <c r="B185" s="3" t="s">
        <v>1009</v>
      </c>
      <c r="C185" s="13" t="s">
        <v>606</v>
      </c>
    </row>
    <row r="186" spans="1:3" ht="30" x14ac:dyDescent="0.25">
      <c r="A186">
        <v>185</v>
      </c>
      <c r="B186" s="3" t="s">
        <v>1009</v>
      </c>
      <c r="C186" s="13" t="s">
        <v>571</v>
      </c>
    </row>
    <row r="187" spans="1:3" ht="30" x14ac:dyDescent="0.25">
      <c r="A187">
        <v>186</v>
      </c>
      <c r="B187" s="3" t="s">
        <v>1009</v>
      </c>
      <c r="C187" s="13" t="s">
        <v>204</v>
      </c>
    </row>
    <row r="188" spans="1:3" ht="30" x14ac:dyDescent="0.25">
      <c r="A188">
        <v>187</v>
      </c>
      <c r="B188" s="3" t="s">
        <v>1009</v>
      </c>
      <c r="C188" s="13" t="s">
        <v>789</v>
      </c>
    </row>
    <row r="189" spans="1:3" ht="30" x14ac:dyDescent="0.25">
      <c r="A189">
        <v>188</v>
      </c>
      <c r="B189" s="3" t="s">
        <v>1009</v>
      </c>
      <c r="C189" s="13" t="s">
        <v>742</v>
      </c>
    </row>
    <row r="190" spans="1:3" ht="30" x14ac:dyDescent="0.25">
      <c r="A190">
        <v>189</v>
      </c>
      <c r="B190" s="3" t="s">
        <v>1009</v>
      </c>
      <c r="C190" s="13" t="s">
        <v>170</v>
      </c>
    </row>
    <row r="191" spans="1:3" ht="15.75" x14ac:dyDescent="0.25">
      <c r="A191">
        <v>190</v>
      </c>
      <c r="B191" s="3" t="s">
        <v>1008</v>
      </c>
      <c r="C191" s="13" t="s">
        <v>713</v>
      </c>
    </row>
    <row r="192" spans="1:3" ht="30" x14ac:dyDescent="0.25">
      <c r="A192">
        <v>191</v>
      </c>
      <c r="B192" s="3" t="s">
        <v>1009</v>
      </c>
      <c r="C192" s="13" t="s">
        <v>136</v>
      </c>
    </row>
    <row r="193" spans="1:3" ht="30" x14ac:dyDescent="0.25">
      <c r="A193">
        <v>192</v>
      </c>
      <c r="B193" s="3" t="s">
        <v>1009</v>
      </c>
      <c r="C193" s="13" t="s">
        <v>645</v>
      </c>
    </row>
  </sheetData>
  <hyperlinks>
    <hyperlink ref="C2" r:id="rId1" xr:uid="{00000000-0004-0000-0400-000000000000}"/>
    <hyperlink ref="C3" r:id="rId2" xr:uid="{00000000-0004-0000-0400-000001000000}"/>
    <hyperlink ref="C4" r:id="rId3" xr:uid="{00000000-0004-0000-0400-000002000000}"/>
    <hyperlink ref="C5" r:id="rId4" xr:uid="{00000000-0004-0000-0400-000003000000}"/>
    <hyperlink ref="C6" r:id="rId5" xr:uid="{00000000-0004-0000-0400-000004000000}"/>
    <hyperlink ref="C7" r:id="rId6" xr:uid="{00000000-0004-0000-0400-000005000000}"/>
    <hyperlink ref="C8" r:id="rId7" xr:uid="{00000000-0004-0000-0400-000006000000}"/>
    <hyperlink ref="C9" r:id="rId8" xr:uid="{00000000-0004-0000-0400-000007000000}"/>
    <hyperlink ref="C10" r:id="rId9" xr:uid="{00000000-0004-0000-0400-000008000000}"/>
    <hyperlink ref="C11" r:id="rId10" xr:uid="{00000000-0004-0000-0400-000009000000}"/>
    <hyperlink ref="C12" r:id="rId11" xr:uid="{00000000-0004-0000-0400-00000A000000}"/>
    <hyperlink ref="C13" r:id="rId12" xr:uid="{00000000-0004-0000-0400-00000B000000}"/>
    <hyperlink ref="C14" r:id="rId13" xr:uid="{00000000-0004-0000-0400-00000C000000}"/>
    <hyperlink ref="C15" r:id="rId14" xr:uid="{00000000-0004-0000-0400-00000D000000}"/>
    <hyperlink ref="C16" r:id="rId15" xr:uid="{00000000-0004-0000-0400-00000E000000}"/>
    <hyperlink ref="C17" r:id="rId16" xr:uid="{00000000-0004-0000-0400-00000F000000}"/>
    <hyperlink ref="C18" r:id="rId17" xr:uid="{00000000-0004-0000-0400-000010000000}"/>
    <hyperlink ref="C19" r:id="rId18" xr:uid="{00000000-0004-0000-0400-000011000000}"/>
    <hyperlink ref="C20" r:id="rId19" xr:uid="{00000000-0004-0000-0400-000012000000}"/>
    <hyperlink ref="C21" r:id="rId20" xr:uid="{00000000-0004-0000-0400-000013000000}"/>
    <hyperlink ref="C22" r:id="rId21" xr:uid="{00000000-0004-0000-0400-000014000000}"/>
    <hyperlink ref="C23" r:id="rId22" xr:uid="{00000000-0004-0000-0400-000015000000}"/>
    <hyperlink ref="C24" r:id="rId23" xr:uid="{00000000-0004-0000-0400-000016000000}"/>
    <hyperlink ref="C25" r:id="rId24" xr:uid="{00000000-0004-0000-0400-000017000000}"/>
    <hyperlink ref="C26" r:id="rId25" xr:uid="{00000000-0004-0000-0400-000018000000}"/>
    <hyperlink ref="C27" r:id="rId26" xr:uid="{00000000-0004-0000-0400-000019000000}"/>
    <hyperlink ref="C28" r:id="rId27" xr:uid="{00000000-0004-0000-0400-00001A000000}"/>
    <hyperlink ref="C29" r:id="rId28" xr:uid="{00000000-0004-0000-0400-00001B000000}"/>
    <hyperlink ref="C30" r:id="rId29" xr:uid="{00000000-0004-0000-0400-00001C000000}"/>
    <hyperlink ref="C31" r:id="rId30" xr:uid="{00000000-0004-0000-0400-00001D000000}"/>
    <hyperlink ref="C32" r:id="rId31" xr:uid="{00000000-0004-0000-0400-00001E000000}"/>
    <hyperlink ref="C33" r:id="rId32" xr:uid="{00000000-0004-0000-0400-00001F000000}"/>
    <hyperlink ref="C34" r:id="rId33" xr:uid="{00000000-0004-0000-0400-000020000000}"/>
    <hyperlink ref="C35" r:id="rId34" xr:uid="{00000000-0004-0000-0400-000021000000}"/>
    <hyperlink ref="C36" r:id="rId35" xr:uid="{00000000-0004-0000-0400-000022000000}"/>
    <hyperlink ref="C37" r:id="rId36" xr:uid="{00000000-0004-0000-0400-000023000000}"/>
    <hyperlink ref="C38" r:id="rId37" xr:uid="{00000000-0004-0000-0400-000024000000}"/>
    <hyperlink ref="C39" r:id="rId38" xr:uid="{00000000-0004-0000-0400-000025000000}"/>
    <hyperlink ref="C40" r:id="rId39" xr:uid="{00000000-0004-0000-0400-000026000000}"/>
    <hyperlink ref="C41" r:id="rId40" xr:uid="{00000000-0004-0000-0400-000027000000}"/>
    <hyperlink ref="C42" r:id="rId41" xr:uid="{00000000-0004-0000-0400-000028000000}"/>
    <hyperlink ref="C43" r:id="rId42" xr:uid="{00000000-0004-0000-0400-000029000000}"/>
    <hyperlink ref="C44" r:id="rId43" xr:uid="{00000000-0004-0000-0400-00002A000000}"/>
    <hyperlink ref="C45" r:id="rId44" xr:uid="{00000000-0004-0000-0400-00002B000000}"/>
    <hyperlink ref="C46" r:id="rId45" xr:uid="{00000000-0004-0000-0400-00002C000000}"/>
    <hyperlink ref="C47" r:id="rId46" xr:uid="{00000000-0004-0000-0400-00002D000000}"/>
    <hyperlink ref="C48" r:id="rId47" xr:uid="{00000000-0004-0000-0400-00002E000000}"/>
    <hyperlink ref="C49" r:id="rId48" xr:uid="{00000000-0004-0000-0400-00002F000000}"/>
    <hyperlink ref="C50" r:id="rId49" xr:uid="{00000000-0004-0000-0400-000030000000}"/>
    <hyperlink ref="C51" r:id="rId50" xr:uid="{00000000-0004-0000-0400-000031000000}"/>
    <hyperlink ref="C52" r:id="rId51" xr:uid="{00000000-0004-0000-0400-000032000000}"/>
    <hyperlink ref="C53" r:id="rId52" xr:uid="{00000000-0004-0000-0400-000033000000}"/>
    <hyperlink ref="C54" r:id="rId53" xr:uid="{00000000-0004-0000-0400-000034000000}"/>
    <hyperlink ref="C55" r:id="rId54" xr:uid="{00000000-0004-0000-0400-000035000000}"/>
    <hyperlink ref="C56" r:id="rId55" xr:uid="{00000000-0004-0000-0400-000036000000}"/>
    <hyperlink ref="C57" r:id="rId56" xr:uid="{00000000-0004-0000-0400-000037000000}"/>
    <hyperlink ref="C58" r:id="rId57" xr:uid="{00000000-0004-0000-0400-000038000000}"/>
    <hyperlink ref="C59" r:id="rId58" xr:uid="{00000000-0004-0000-0400-000039000000}"/>
    <hyperlink ref="C60" r:id="rId59" xr:uid="{00000000-0004-0000-0400-00003A000000}"/>
    <hyperlink ref="C61" r:id="rId60" xr:uid="{00000000-0004-0000-0400-00003B000000}"/>
    <hyperlink ref="C62" r:id="rId61" xr:uid="{00000000-0004-0000-0400-00003C000000}"/>
    <hyperlink ref="C63" r:id="rId62" xr:uid="{00000000-0004-0000-0400-00003D000000}"/>
    <hyperlink ref="C64" r:id="rId63" xr:uid="{00000000-0004-0000-0400-00003E000000}"/>
    <hyperlink ref="C65" r:id="rId64" xr:uid="{00000000-0004-0000-0400-00003F000000}"/>
    <hyperlink ref="C66" r:id="rId65" xr:uid="{00000000-0004-0000-0400-000040000000}"/>
    <hyperlink ref="C67" r:id="rId66" xr:uid="{00000000-0004-0000-0400-000041000000}"/>
    <hyperlink ref="C68" r:id="rId67" xr:uid="{00000000-0004-0000-0400-000042000000}"/>
    <hyperlink ref="C69" r:id="rId68" xr:uid="{00000000-0004-0000-0400-000043000000}"/>
    <hyperlink ref="C70" r:id="rId69" xr:uid="{00000000-0004-0000-0400-000044000000}"/>
    <hyperlink ref="C71" r:id="rId70" xr:uid="{00000000-0004-0000-0400-000045000000}"/>
    <hyperlink ref="C72" r:id="rId71" xr:uid="{00000000-0004-0000-0400-000046000000}"/>
    <hyperlink ref="C73" r:id="rId72" xr:uid="{00000000-0004-0000-0400-000047000000}"/>
    <hyperlink ref="C74" r:id="rId73" xr:uid="{00000000-0004-0000-0400-000048000000}"/>
    <hyperlink ref="C75" r:id="rId74" xr:uid="{00000000-0004-0000-0400-000049000000}"/>
    <hyperlink ref="C76" r:id="rId75" xr:uid="{00000000-0004-0000-0400-00004A000000}"/>
    <hyperlink ref="C77" r:id="rId76" xr:uid="{00000000-0004-0000-0400-00004B000000}"/>
    <hyperlink ref="C78" r:id="rId77" xr:uid="{00000000-0004-0000-0400-00004C000000}"/>
    <hyperlink ref="C79" r:id="rId78" xr:uid="{00000000-0004-0000-0400-00004D000000}"/>
    <hyperlink ref="C80" r:id="rId79" xr:uid="{00000000-0004-0000-0400-00004E000000}"/>
    <hyperlink ref="C81" r:id="rId80" xr:uid="{00000000-0004-0000-0400-00004F000000}"/>
    <hyperlink ref="C82" r:id="rId81" xr:uid="{00000000-0004-0000-0400-000050000000}"/>
    <hyperlink ref="C83" r:id="rId82" xr:uid="{00000000-0004-0000-0400-000051000000}"/>
    <hyperlink ref="C84" r:id="rId83" xr:uid="{00000000-0004-0000-0400-000052000000}"/>
    <hyperlink ref="C85" r:id="rId84" xr:uid="{00000000-0004-0000-0400-000053000000}"/>
    <hyperlink ref="C86" r:id="rId85" xr:uid="{00000000-0004-0000-0400-000054000000}"/>
    <hyperlink ref="C87" r:id="rId86" xr:uid="{00000000-0004-0000-0400-000055000000}"/>
    <hyperlink ref="C88" r:id="rId87" xr:uid="{00000000-0004-0000-0400-000056000000}"/>
    <hyperlink ref="C89" r:id="rId88" xr:uid="{00000000-0004-0000-0400-000057000000}"/>
    <hyperlink ref="C90" r:id="rId89" xr:uid="{00000000-0004-0000-0400-000058000000}"/>
    <hyperlink ref="C91" r:id="rId90" xr:uid="{00000000-0004-0000-0400-000059000000}"/>
    <hyperlink ref="C92" r:id="rId91" xr:uid="{00000000-0004-0000-0400-00005A000000}"/>
    <hyperlink ref="C93" r:id="rId92" xr:uid="{00000000-0004-0000-0400-00005B000000}"/>
    <hyperlink ref="C94" r:id="rId93" xr:uid="{00000000-0004-0000-0400-00005C000000}"/>
    <hyperlink ref="C95" r:id="rId94" xr:uid="{00000000-0004-0000-0400-00005D000000}"/>
    <hyperlink ref="C96" r:id="rId95" xr:uid="{00000000-0004-0000-0400-00005E000000}"/>
    <hyperlink ref="C97" r:id="rId96" xr:uid="{00000000-0004-0000-0400-00005F000000}"/>
    <hyperlink ref="C98" r:id="rId97" xr:uid="{00000000-0004-0000-0400-000060000000}"/>
    <hyperlink ref="C99" r:id="rId98" xr:uid="{00000000-0004-0000-0400-000061000000}"/>
    <hyperlink ref="C100" r:id="rId99" xr:uid="{00000000-0004-0000-0400-000062000000}"/>
    <hyperlink ref="C101" r:id="rId100" xr:uid="{00000000-0004-0000-0400-000063000000}"/>
    <hyperlink ref="C102" r:id="rId101" xr:uid="{00000000-0004-0000-0400-000064000000}"/>
    <hyperlink ref="C103" r:id="rId102" xr:uid="{00000000-0004-0000-0400-000065000000}"/>
    <hyperlink ref="C104" r:id="rId103" xr:uid="{00000000-0004-0000-0400-000066000000}"/>
    <hyperlink ref="C105" r:id="rId104" xr:uid="{00000000-0004-0000-0400-000067000000}"/>
    <hyperlink ref="C106" r:id="rId105" xr:uid="{00000000-0004-0000-0400-000068000000}"/>
    <hyperlink ref="C107" r:id="rId106" xr:uid="{00000000-0004-0000-0400-000069000000}"/>
    <hyperlink ref="C108" r:id="rId107" xr:uid="{00000000-0004-0000-0400-00006A000000}"/>
    <hyperlink ref="C109" r:id="rId108" xr:uid="{00000000-0004-0000-0400-00006B000000}"/>
    <hyperlink ref="C110" r:id="rId109" xr:uid="{00000000-0004-0000-0400-00006C000000}"/>
    <hyperlink ref="C111" r:id="rId110" xr:uid="{00000000-0004-0000-0400-00006D000000}"/>
    <hyperlink ref="C112" r:id="rId111" xr:uid="{00000000-0004-0000-0400-00006E000000}"/>
    <hyperlink ref="C113" r:id="rId112" xr:uid="{00000000-0004-0000-0400-00006F000000}"/>
    <hyperlink ref="C114" r:id="rId113" xr:uid="{00000000-0004-0000-0400-000070000000}"/>
    <hyperlink ref="C115" r:id="rId114" xr:uid="{00000000-0004-0000-0400-000071000000}"/>
    <hyperlink ref="C116" r:id="rId115" xr:uid="{00000000-0004-0000-0400-000072000000}"/>
    <hyperlink ref="C117" r:id="rId116" xr:uid="{00000000-0004-0000-0400-000073000000}"/>
    <hyperlink ref="C118" r:id="rId117" xr:uid="{00000000-0004-0000-0400-000074000000}"/>
    <hyperlink ref="C119" r:id="rId118" xr:uid="{00000000-0004-0000-0400-000075000000}"/>
    <hyperlink ref="C120" r:id="rId119" xr:uid="{00000000-0004-0000-0400-000076000000}"/>
    <hyperlink ref="C121" r:id="rId120" xr:uid="{00000000-0004-0000-0400-000077000000}"/>
    <hyperlink ref="C122" r:id="rId121" xr:uid="{00000000-0004-0000-0400-000078000000}"/>
    <hyperlink ref="C123" r:id="rId122" xr:uid="{00000000-0004-0000-0400-000079000000}"/>
    <hyperlink ref="C124" r:id="rId123" xr:uid="{00000000-0004-0000-0400-00007A000000}"/>
    <hyperlink ref="C125" r:id="rId124" xr:uid="{00000000-0004-0000-0400-00007B000000}"/>
    <hyperlink ref="C126" r:id="rId125" xr:uid="{00000000-0004-0000-0400-00007C000000}"/>
    <hyperlink ref="C127" r:id="rId126" xr:uid="{00000000-0004-0000-0400-00007D000000}"/>
    <hyperlink ref="C128" r:id="rId127" xr:uid="{00000000-0004-0000-0400-00007E000000}"/>
    <hyperlink ref="C129" r:id="rId128" xr:uid="{00000000-0004-0000-0400-00007F000000}"/>
    <hyperlink ref="C130" r:id="rId129" xr:uid="{00000000-0004-0000-0400-000080000000}"/>
    <hyperlink ref="C131" r:id="rId130" xr:uid="{00000000-0004-0000-0400-000081000000}"/>
    <hyperlink ref="C132" r:id="rId131" xr:uid="{00000000-0004-0000-0400-000082000000}"/>
    <hyperlink ref="C133" r:id="rId132" xr:uid="{00000000-0004-0000-0400-000083000000}"/>
    <hyperlink ref="C134" r:id="rId133" xr:uid="{00000000-0004-0000-0400-000084000000}"/>
    <hyperlink ref="C135" r:id="rId134" xr:uid="{00000000-0004-0000-0400-000085000000}"/>
    <hyperlink ref="C136" r:id="rId135" xr:uid="{00000000-0004-0000-0400-000086000000}"/>
    <hyperlink ref="C137" r:id="rId136" xr:uid="{00000000-0004-0000-0400-000087000000}"/>
    <hyperlink ref="C138" r:id="rId137" xr:uid="{00000000-0004-0000-0400-000088000000}"/>
    <hyperlink ref="C139" r:id="rId138" xr:uid="{00000000-0004-0000-0400-000089000000}"/>
    <hyperlink ref="C140" r:id="rId139" xr:uid="{00000000-0004-0000-0400-00008A000000}"/>
    <hyperlink ref="C141" r:id="rId140" xr:uid="{00000000-0004-0000-0400-00008B000000}"/>
    <hyperlink ref="C142" r:id="rId141" xr:uid="{00000000-0004-0000-0400-00008C000000}"/>
    <hyperlink ref="C143" r:id="rId142" xr:uid="{00000000-0004-0000-0400-00008D000000}"/>
    <hyperlink ref="C144" r:id="rId143" xr:uid="{00000000-0004-0000-0400-00008E000000}"/>
    <hyperlink ref="C145" r:id="rId144" xr:uid="{00000000-0004-0000-0400-00008F000000}"/>
    <hyperlink ref="C146" r:id="rId145" xr:uid="{00000000-0004-0000-0400-000090000000}"/>
    <hyperlink ref="C147" r:id="rId146" xr:uid="{00000000-0004-0000-0400-000091000000}"/>
    <hyperlink ref="C148" r:id="rId147" xr:uid="{00000000-0004-0000-0400-000092000000}"/>
    <hyperlink ref="C149" r:id="rId148" xr:uid="{00000000-0004-0000-0400-000093000000}"/>
    <hyperlink ref="C150" r:id="rId149" xr:uid="{00000000-0004-0000-0400-000094000000}"/>
    <hyperlink ref="C151" r:id="rId150" xr:uid="{00000000-0004-0000-0400-000095000000}"/>
    <hyperlink ref="C152" r:id="rId151" xr:uid="{00000000-0004-0000-0400-000096000000}"/>
    <hyperlink ref="C153" r:id="rId152" xr:uid="{00000000-0004-0000-0400-000097000000}"/>
    <hyperlink ref="C154" r:id="rId153" xr:uid="{00000000-0004-0000-0400-000098000000}"/>
    <hyperlink ref="C155" r:id="rId154" xr:uid="{00000000-0004-0000-0400-000099000000}"/>
    <hyperlink ref="C156" r:id="rId155" xr:uid="{00000000-0004-0000-0400-00009A000000}"/>
    <hyperlink ref="C157" r:id="rId156" xr:uid="{00000000-0004-0000-0400-00009B000000}"/>
    <hyperlink ref="C158" r:id="rId157" xr:uid="{00000000-0004-0000-0400-00009C000000}"/>
    <hyperlink ref="C159" r:id="rId158" xr:uid="{00000000-0004-0000-0400-00009D000000}"/>
    <hyperlink ref="C160" r:id="rId159" xr:uid="{00000000-0004-0000-0400-00009E000000}"/>
    <hyperlink ref="C161" r:id="rId160" xr:uid="{00000000-0004-0000-0400-00009F000000}"/>
    <hyperlink ref="C162" r:id="rId161" xr:uid="{00000000-0004-0000-0400-0000A0000000}"/>
    <hyperlink ref="C163" r:id="rId162" xr:uid="{00000000-0004-0000-0400-0000A1000000}"/>
    <hyperlink ref="C164" r:id="rId163" xr:uid="{00000000-0004-0000-0400-0000A2000000}"/>
    <hyperlink ref="C165" r:id="rId164" xr:uid="{00000000-0004-0000-0400-0000A3000000}"/>
    <hyperlink ref="C166" r:id="rId165" xr:uid="{00000000-0004-0000-0400-0000A4000000}"/>
    <hyperlink ref="C167" r:id="rId166" xr:uid="{00000000-0004-0000-0400-0000A5000000}"/>
    <hyperlink ref="C168" r:id="rId167" xr:uid="{00000000-0004-0000-0400-0000A6000000}"/>
    <hyperlink ref="C169" r:id="rId168" xr:uid="{00000000-0004-0000-0400-0000A7000000}"/>
    <hyperlink ref="C170" r:id="rId169" xr:uid="{00000000-0004-0000-0400-0000A8000000}"/>
    <hyperlink ref="C171" r:id="rId170" xr:uid="{00000000-0004-0000-0400-0000A9000000}"/>
    <hyperlink ref="C172" r:id="rId171" xr:uid="{00000000-0004-0000-0400-0000AA000000}"/>
    <hyperlink ref="C173" r:id="rId172" xr:uid="{00000000-0004-0000-0400-0000AB000000}"/>
    <hyperlink ref="C174" r:id="rId173" xr:uid="{00000000-0004-0000-0400-0000AC000000}"/>
    <hyperlink ref="C175" r:id="rId174" xr:uid="{00000000-0004-0000-0400-0000AD000000}"/>
    <hyperlink ref="C176" r:id="rId175" xr:uid="{00000000-0004-0000-0400-0000AE000000}"/>
    <hyperlink ref="C177" r:id="rId176" xr:uid="{00000000-0004-0000-0400-0000AF000000}"/>
    <hyperlink ref="C178" r:id="rId177" xr:uid="{00000000-0004-0000-0400-0000B0000000}"/>
    <hyperlink ref="C179" r:id="rId178" xr:uid="{00000000-0004-0000-0400-0000B1000000}"/>
    <hyperlink ref="C180" r:id="rId179" xr:uid="{00000000-0004-0000-0400-0000B2000000}"/>
    <hyperlink ref="C181" r:id="rId180" xr:uid="{00000000-0004-0000-0400-0000B3000000}"/>
    <hyperlink ref="C182" r:id="rId181" xr:uid="{00000000-0004-0000-0400-0000B4000000}"/>
    <hyperlink ref="C183" r:id="rId182" xr:uid="{00000000-0004-0000-0400-0000B5000000}"/>
    <hyperlink ref="C184" r:id="rId183" xr:uid="{00000000-0004-0000-0400-0000B6000000}"/>
    <hyperlink ref="C185" r:id="rId184" xr:uid="{00000000-0004-0000-0400-0000B7000000}"/>
    <hyperlink ref="C186" r:id="rId185" xr:uid="{00000000-0004-0000-0400-0000B8000000}"/>
    <hyperlink ref="C187" r:id="rId186" xr:uid="{00000000-0004-0000-0400-0000B9000000}"/>
    <hyperlink ref="C188" r:id="rId187" xr:uid="{00000000-0004-0000-0400-0000BA000000}"/>
    <hyperlink ref="C189" r:id="rId188" xr:uid="{00000000-0004-0000-0400-0000BB000000}"/>
    <hyperlink ref="C190" r:id="rId189" xr:uid="{00000000-0004-0000-0400-0000BC000000}"/>
    <hyperlink ref="C191" r:id="rId190" xr:uid="{00000000-0004-0000-0400-0000BD000000}"/>
    <hyperlink ref="C192" r:id="rId191" xr:uid="{00000000-0004-0000-0400-0000BE000000}"/>
    <hyperlink ref="C193" r:id="rId192" xr:uid="{00000000-0004-0000-0400-0000B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1"/>
  <sheetViews>
    <sheetView showGridLines="0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7" customWidth="1"/>
    <col min="2" max="2" width="10" customWidth="1"/>
    <col min="3" max="3" width="30" customWidth="1"/>
    <col min="4" max="4" width="40" customWidth="1"/>
    <col min="5" max="5" width="50" customWidth="1"/>
    <col min="6" max="8" width="55" customWidth="1"/>
  </cols>
  <sheetData>
    <row r="1" spans="1:8" ht="30" x14ac:dyDescent="0.25">
      <c r="A1" s="14" t="s">
        <v>25</v>
      </c>
      <c r="B1" s="14" t="s">
        <v>1011</v>
      </c>
      <c r="C1" s="14" t="s">
        <v>5</v>
      </c>
      <c r="D1" s="14" t="s">
        <v>27</v>
      </c>
      <c r="E1" s="14" t="s">
        <v>28</v>
      </c>
      <c r="F1" s="14" t="s">
        <v>1012</v>
      </c>
      <c r="G1" s="14" t="s">
        <v>42</v>
      </c>
      <c r="H1" s="14" t="s">
        <v>44</v>
      </c>
    </row>
    <row r="2" spans="1:8" ht="15.75" x14ac:dyDescent="0.25">
      <c r="A2" s="3">
        <v>1</v>
      </c>
      <c r="B2" s="3">
        <v>1</v>
      </c>
      <c r="C2" s="3" t="s">
        <v>13</v>
      </c>
      <c r="D2" s="3" t="s">
        <v>48</v>
      </c>
      <c r="E2" s="3" t="s">
        <v>49</v>
      </c>
      <c r="F2" s="3" t="s">
        <v>1013</v>
      </c>
      <c r="G2" s="8" t="s">
        <v>57</v>
      </c>
      <c r="H2" s="8" t="s">
        <v>59</v>
      </c>
    </row>
    <row r="3" spans="1:8" ht="15.75" x14ac:dyDescent="0.25">
      <c r="A3" s="3">
        <v>2</v>
      </c>
      <c r="B3" s="3">
        <v>2</v>
      </c>
      <c r="C3" s="3" t="s">
        <v>13</v>
      </c>
      <c r="D3" s="3" t="s">
        <v>62</v>
      </c>
      <c r="E3" s="3" t="s">
        <v>63</v>
      </c>
      <c r="F3" s="3" t="s">
        <v>1013</v>
      </c>
      <c r="G3" s="8" t="s">
        <v>57</v>
      </c>
      <c r="H3" s="8" t="s">
        <v>68</v>
      </c>
    </row>
    <row r="4" spans="1:8" ht="15.75" x14ac:dyDescent="0.25">
      <c r="A4" s="3">
        <v>3</v>
      </c>
      <c r="B4" s="3">
        <v>3</v>
      </c>
      <c r="C4" s="3" t="s">
        <v>13</v>
      </c>
      <c r="D4" s="3" t="s">
        <v>70</v>
      </c>
      <c r="E4" s="3" t="s">
        <v>71</v>
      </c>
      <c r="F4" s="3" t="s">
        <v>1014</v>
      </c>
      <c r="G4" s="8" t="s">
        <v>78</v>
      </c>
      <c r="H4" s="8" t="s">
        <v>80</v>
      </c>
    </row>
    <row r="5" spans="1:8" ht="45" x14ac:dyDescent="0.25">
      <c r="A5" s="3">
        <v>4</v>
      </c>
      <c r="B5" s="3">
        <v>4</v>
      </c>
      <c r="C5" s="3" t="s">
        <v>13</v>
      </c>
      <c r="D5" s="3" t="s">
        <v>81</v>
      </c>
      <c r="E5" s="3" t="s">
        <v>82</v>
      </c>
      <c r="F5" s="3" t="s">
        <v>1015</v>
      </c>
      <c r="G5" s="8" t="s">
        <v>78</v>
      </c>
      <c r="H5" s="8" t="s">
        <v>87</v>
      </c>
    </row>
    <row r="6" spans="1:8" ht="30" x14ac:dyDescent="0.25">
      <c r="A6" s="3">
        <v>5</v>
      </c>
      <c r="B6" s="3">
        <v>5</v>
      </c>
      <c r="C6" s="3" t="s">
        <v>13</v>
      </c>
      <c r="D6" s="3" t="s">
        <v>90</v>
      </c>
      <c r="E6" s="3" t="s">
        <v>91</v>
      </c>
      <c r="F6" s="3" t="s">
        <v>1013</v>
      </c>
      <c r="G6" s="8" t="s">
        <v>57</v>
      </c>
      <c r="H6" s="8" t="s">
        <v>95</v>
      </c>
    </row>
    <row r="7" spans="1:8" ht="15.75" x14ac:dyDescent="0.25">
      <c r="A7" s="3">
        <v>6</v>
      </c>
      <c r="B7" s="3">
        <v>6</v>
      </c>
      <c r="C7" s="3" t="s">
        <v>13</v>
      </c>
      <c r="D7" s="3" t="s">
        <v>96</v>
      </c>
      <c r="E7" s="3" t="s">
        <v>97</v>
      </c>
      <c r="F7" s="3" t="s">
        <v>1013</v>
      </c>
      <c r="G7" s="8" t="s">
        <v>57</v>
      </c>
      <c r="H7" s="8" t="s">
        <v>100</v>
      </c>
    </row>
    <row r="8" spans="1:8" ht="15.75" x14ac:dyDescent="0.25">
      <c r="A8" s="3">
        <v>7</v>
      </c>
      <c r="B8" s="3">
        <v>7</v>
      </c>
      <c r="C8" s="3" t="s">
        <v>13</v>
      </c>
      <c r="D8" s="3" t="s">
        <v>102</v>
      </c>
      <c r="E8" s="3" t="s">
        <v>103</v>
      </c>
      <c r="F8" s="3" t="s">
        <v>1013</v>
      </c>
      <c r="G8" s="8" t="s">
        <v>57</v>
      </c>
      <c r="H8" s="8" t="s">
        <v>110</v>
      </c>
    </row>
    <row r="9" spans="1:8" ht="15.75" x14ac:dyDescent="0.25">
      <c r="A9" s="3">
        <v>8</v>
      </c>
      <c r="B9" s="3">
        <v>8</v>
      </c>
      <c r="C9" s="3" t="s">
        <v>13</v>
      </c>
      <c r="D9" s="3" t="s">
        <v>111</v>
      </c>
      <c r="E9" s="3" t="s">
        <v>112</v>
      </c>
      <c r="F9" s="3" t="s">
        <v>1013</v>
      </c>
      <c r="G9" s="8" t="s">
        <v>57</v>
      </c>
      <c r="H9" s="8" t="s">
        <v>115</v>
      </c>
    </row>
    <row r="10" spans="1:8" ht="15.75" x14ac:dyDescent="0.25">
      <c r="A10" s="3">
        <v>9</v>
      </c>
      <c r="B10" s="3">
        <v>9</v>
      </c>
      <c r="C10" s="3" t="s">
        <v>14</v>
      </c>
      <c r="D10" s="3" t="s">
        <v>117</v>
      </c>
      <c r="E10" s="3" t="s">
        <v>63</v>
      </c>
      <c r="F10" s="3" t="s">
        <v>1013</v>
      </c>
      <c r="G10" s="8" t="s">
        <v>67</v>
      </c>
      <c r="H10" s="8" t="s">
        <v>121</v>
      </c>
    </row>
    <row r="11" spans="1:8" ht="15.75" x14ac:dyDescent="0.25">
      <c r="A11" s="3">
        <v>10</v>
      </c>
      <c r="B11" s="3">
        <v>10</v>
      </c>
      <c r="C11" s="3" t="s">
        <v>14</v>
      </c>
      <c r="D11" s="3" t="s">
        <v>122</v>
      </c>
      <c r="E11" s="3" t="s">
        <v>63</v>
      </c>
      <c r="F11" s="3" t="s">
        <v>1013</v>
      </c>
      <c r="G11" s="8" t="s">
        <v>67</v>
      </c>
      <c r="H11" s="8" t="s">
        <v>124</v>
      </c>
    </row>
    <row r="12" spans="1:8" ht="15.75" x14ac:dyDescent="0.25">
      <c r="A12" s="3">
        <v>11</v>
      </c>
      <c r="B12" s="3">
        <v>11</v>
      </c>
      <c r="C12" s="3" t="s">
        <v>14</v>
      </c>
      <c r="D12" s="3" t="s">
        <v>126</v>
      </c>
      <c r="E12" s="3" t="s">
        <v>63</v>
      </c>
      <c r="F12" s="3" t="s">
        <v>1016</v>
      </c>
      <c r="G12" s="8" t="s">
        <v>129</v>
      </c>
      <c r="H12" s="8" t="s">
        <v>129</v>
      </c>
    </row>
    <row r="13" spans="1:8" ht="15.75" x14ac:dyDescent="0.25">
      <c r="A13" s="3">
        <v>12</v>
      </c>
      <c r="B13" s="3">
        <v>12</v>
      </c>
      <c r="C13" s="3" t="s">
        <v>14</v>
      </c>
      <c r="D13" s="3" t="s">
        <v>131</v>
      </c>
      <c r="E13" s="3" t="s">
        <v>132</v>
      </c>
      <c r="F13" s="3" t="s">
        <v>1014</v>
      </c>
      <c r="G13" s="8" t="s">
        <v>136</v>
      </c>
      <c r="H13" s="8" t="s">
        <v>136</v>
      </c>
    </row>
    <row r="14" spans="1:8" ht="15.75" x14ac:dyDescent="0.25">
      <c r="A14" s="3">
        <v>13</v>
      </c>
      <c r="B14" s="3">
        <v>13</v>
      </c>
      <c r="C14" s="3" t="s">
        <v>14</v>
      </c>
      <c r="D14" s="3" t="s">
        <v>137</v>
      </c>
      <c r="E14" s="3" t="s">
        <v>138</v>
      </c>
      <c r="F14" s="3" t="s">
        <v>1014</v>
      </c>
      <c r="G14" s="8" t="s">
        <v>142</v>
      </c>
      <c r="H14" s="8" t="s">
        <v>142</v>
      </c>
    </row>
    <row r="15" spans="1:8" ht="15.75" x14ac:dyDescent="0.25">
      <c r="A15" s="3">
        <v>14</v>
      </c>
      <c r="B15" s="3">
        <v>14</v>
      </c>
      <c r="C15" s="3" t="s">
        <v>14</v>
      </c>
      <c r="D15" s="3" t="s">
        <v>143</v>
      </c>
      <c r="E15" s="3" t="s">
        <v>63</v>
      </c>
      <c r="F15" s="3" t="s">
        <v>1013</v>
      </c>
      <c r="G15" s="8" t="s">
        <v>67</v>
      </c>
      <c r="H15" s="8" t="s">
        <v>146</v>
      </c>
    </row>
    <row r="16" spans="1:8" ht="15.75" x14ac:dyDescent="0.25">
      <c r="A16" s="3">
        <v>15</v>
      </c>
      <c r="B16" s="3">
        <v>15</v>
      </c>
      <c r="C16" s="3" t="s">
        <v>14</v>
      </c>
      <c r="D16" s="3" t="s">
        <v>147</v>
      </c>
      <c r="E16" s="3" t="s">
        <v>148</v>
      </c>
      <c r="F16" s="3" t="s">
        <v>1014</v>
      </c>
      <c r="G16" s="8" t="s">
        <v>151</v>
      </c>
      <c r="H16" s="8" t="s">
        <v>151</v>
      </c>
    </row>
    <row r="17" spans="1:8" ht="15.75" x14ac:dyDescent="0.25">
      <c r="A17" s="3">
        <v>16</v>
      </c>
      <c r="B17" s="3">
        <v>17</v>
      </c>
      <c r="C17" s="3" t="s">
        <v>14</v>
      </c>
      <c r="D17" s="3" t="s">
        <v>159</v>
      </c>
      <c r="E17" s="3" t="s">
        <v>160</v>
      </c>
      <c r="F17" s="3" t="s">
        <v>1014</v>
      </c>
      <c r="G17" s="8" t="s">
        <v>163</v>
      </c>
      <c r="H17" s="8" t="s">
        <v>163</v>
      </c>
    </row>
    <row r="18" spans="1:8" ht="30" x14ac:dyDescent="0.25">
      <c r="A18" s="3">
        <v>17</v>
      </c>
      <c r="B18" s="3">
        <v>18</v>
      </c>
      <c r="C18" s="3" t="s">
        <v>14</v>
      </c>
      <c r="D18" s="3" t="s">
        <v>165</v>
      </c>
      <c r="E18" s="3" t="s">
        <v>166</v>
      </c>
      <c r="F18" s="3" t="s">
        <v>1014</v>
      </c>
      <c r="G18" s="8" t="s">
        <v>170</v>
      </c>
      <c r="H18" s="8" t="s">
        <v>170</v>
      </c>
    </row>
    <row r="19" spans="1:8" ht="15.75" x14ac:dyDescent="0.25">
      <c r="A19" s="3">
        <v>18</v>
      </c>
      <c r="B19" s="3">
        <v>19</v>
      </c>
      <c r="C19" s="3" t="s">
        <v>14</v>
      </c>
      <c r="D19" s="3" t="s">
        <v>172</v>
      </c>
      <c r="E19" s="3" t="s">
        <v>63</v>
      </c>
      <c r="F19" s="3" t="s">
        <v>1013</v>
      </c>
      <c r="G19" s="8" t="s">
        <v>86</v>
      </c>
      <c r="H19" s="8" t="s">
        <v>175</v>
      </c>
    </row>
    <row r="20" spans="1:8" ht="15.75" x14ac:dyDescent="0.25">
      <c r="A20" s="3">
        <v>19</v>
      </c>
      <c r="B20" s="3">
        <v>20</v>
      </c>
      <c r="C20" s="3" t="s">
        <v>14</v>
      </c>
      <c r="D20" s="3" t="s">
        <v>177</v>
      </c>
      <c r="E20" s="3" t="s">
        <v>178</v>
      </c>
      <c r="F20" s="3" t="s">
        <v>1013</v>
      </c>
      <c r="G20" s="8" t="s">
        <v>86</v>
      </c>
      <c r="H20" s="8" t="s">
        <v>181</v>
      </c>
    </row>
    <row r="21" spans="1:8" ht="15.75" x14ac:dyDescent="0.25">
      <c r="A21" s="3">
        <v>20</v>
      </c>
      <c r="B21" s="3">
        <v>21</v>
      </c>
      <c r="C21" s="3" t="s">
        <v>14</v>
      </c>
      <c r="D21" s="3" t="s">
        <v>183</v>
      </c>
      <c r="E21" s="3" t="s">
        <v>184</v>
      </c>
      <c r="F21" s="3" t="s">
        <v>1014</v>
      </c>
      <c r="G21" s="8" t="s">
        <v>188</v>
      </c>
      <c r="H21" s="8" t="s">
        <v>188</v>
      </c>
    </row>
    <row r="22" spans="1:8" ht="15.75" x14ac:dyDescent="0.25">
      <c r="A22" s="3">
        <v>21</v>
      </c>
      <c r="B22" s="3">
        <v>22</v>
      </c>
      <c r="C22" s="3" t="s">
        <v>14</v>
      </c>
      <c r="D22" s="3" t="s">
        <v>189</v>
      </c>
      <c r="E22" s="3" t="s">
        <v>190</v>
      </c>
      <c r="F22" s="3" t="s">
        <v>1013</v>
      </c>
      <c r="G22" s="8" t="s">
        <v>192</v>
      </c>
      <c r="H22" s="8" t="s">
        <v>192</v>
      </c>
    </row>
    <row r="23" spans="1:8" ht="30" x14ac:dyDescent="0.25">
      <c r="A23" s="3">
        <v>22</v>
      </c>
      <c r="B23" s="3">
        <v>24</v>
      </c>
      <c r="C23" s="3" t="s">
        <v>14</v>
      </c>
      <c r="D23" s="3" t="s">
        <v>200</v>
      </c>
      <c r="E23" s="3" t="s">
        <v>201</v>
      </c>
      <c r="F23" s="3" t="s">
        <v>1017</v>
      </c>
      <c r="G23" s="8" t="s">
        <v>204</v>
      </c>
      <c r="H23" s="8" t="s">
        <v>204</v>
      </c>
    </row>
    <row r="24" spans="1:8" ht="30" x14ac:dyDescent="0.25">
      <c r="A24" s="3">
        <v>23</v>
      </c>
      <c r="B24" s="3">
        <v>25</v>
      </c>
      <c r="C24" s="3" t="s">
        <v>14</v>
      </c>
      <c r="D24" s="3" t="s">
        <v>206</v>
      </c>
      <c r="E24" s="3" t="s">
        <v>207</v>
      </c>
      <c r="F24" s="3" t="s">
        <v>1014</v>
      </c>
      <c r="G24" s="8" t="s">
        <v>211</v>
      </c>
      <c r="H24" s="8" t="s">
        <v>211</v>
      </c>
    </row>
    <row r="25" spans="1:8" ht="30" x14ac:dyDescent="0.25">
      <c r="A25" s="3">
        <v>24</v>
      </c>
      <c r="B25" s="3">
        <v>26</v>
      </c>
      <c r="C25" s="3" t="s">
        <v>14</v>
      </c>
      <c r="D25" s="3" t="s">
        <v>212</v>
      </c>
      <c r="E25" s="3" t="s">
        <v>213</v>
      </c>
      <c r="F25" s="3" t="s">
        <v>1013</v>
      </c>
      <c r="G25" s="8" t="s">
        <v>215</v>
      </c>
      <c r="H25" s="8" t="s">
        <v>216</v>
      </c>
    </row>
    <row r="26" spans="1:8" ht="15.75" x14ac:dyDescent="0.25">
      <c r="A26" s="3">
        <v>25</v>
      </c>
      <c r="B26" s="3">
        <v>27</v>
      </c>
      <c r="C26" s="3" t="s">
        <v>14</v>
      </c>
      <c r="D26" s="3" t="s">
        <v>218</v>
      </c>
      <c r="E26" s="3" t="s">
        <v>219</v>
      </c>
      <c r="F26" s="3" t="s">
        <v>1014</v>
      </c>
      <c r="G26" s="8" t="s">
        <v>223</v>
      </c>
      <c r="H26" s="8" t="s">
        <v>223</v>
      </c>
    </row>
    <row r="27" spans="1:8" ht="15.75" x14ac:dyDescent="0.25">
      <c r="A27" s="3">
        <v>26</v>
      </c>
      <c r="B27" s="3">
        <v>28</v>
      </c>
      <c r="C27" s="3" t="s">
        <v>14</v>
      </c>
      <c r="D27" s="3" t="s">
        <v>225</v>
      </c>
      <c r="E27" s="3" t="s">
        <v>226</v>
      </c>
      <c r="F27" s="3" t="s">
        <v>1014</v>
      </c>
      <c r="G27" s="8" t="s">
        <v>231</v>
      </c>
      <c r="H27" s="8" t="s">
        <v>231</v>
      </c>
    </row>
    <row r="28" spans="1:8" ht="45" x14ac:dyDescent="0.25">
      <c r="A28" s="3">
        <v>27</v>
      </c>
      <c r="B28" s="3">
        <v>29</v>
      </c>
      <c r="C28" s="3" t="s">
        <v>14</v>
      </c>
      <c r="D28" s="3" t="s">
        <v>233</v>
      </c>
      <c r="E28" s="3" t="s">
        <v>178</v>
      </c>
      <c r="F28" s="3" t="s">
        <v>1018</v>
      </c>
      <c r="G28" s="8" t="s">
        <v>67</v>
      </c>
      <c r="H28" s="8" t="s">
        <v>236</v>
      </c>
    </row>
    <row r="29" spans="1:8" ht="15.75" x14ac:dyDescent="0.25">
      <c r="A29" s="3">
        <v>28</v>
      </c>
      <c r="B29" s="3">
        <v>30</v>
      </c>
      <c r="C29" s="3" t="s">
        <v>15</v>
      </c>
      <c r="D29" s="3" t="s">
        <v>239</v>
      </c>
      <c r="E29" s="3" t="s">
        <v>240</v>
      </c>
      <c r="F29" s="3" t="s">
        <v>1016</v>
      </c>
      <c r="G29" s="8" t="s">
        <v>242</v>
      </c>
      <c r="H29" s="8" t="s">
        <v>242</v>
      </c>
    </row>
    <row r="30" spans="1:8" ht="30" x14ac:dyDescent="0.25">
      <c r="A30" s="3">
        <v>29</v>
      </c>
      <c r="B30" s="3">
        <v>33</v>
      </c>
      <c r="C30" s="3" t="s">
        <v>15</v>
      </c>
      <c r="D30" s="3" t="s">
        <v>261</v>
      </c>
      <c r="E30" s="3" t="s">
        <v>262</v>
      </c>
      <c r="F30" s="3" t="s">
        <v>1017</v>
      </c>
      <c r="G30" s="8" t="s">
        <v>263</v>
      </c>
      <c r="H30" s="8" t="s">
        <v>263</v>
      </c>
    </row>
    <row r="31" spans="1:8" ht="15.75" x14ac:dyDescent="0.25">
      <c r="A31" s="3">
        <v>30</v>
      </c>
      <c r="B31" s="3">
        <v>36</v>
      </c>
      <c r="C31" s="3" t="s">
        <v>15</v>
      </c>
      <c r="D31" s="3" t="s">
        <v>276</v>
      </c>
      <c r="E31" s="3" t="s">
        <v>277</v>
      </c>
      <c r="F31" s="3" t="s">
        <v>1016</v>
      </c>
      <c r="G31" s="8" t="s">
        <v>279</v>
      </c>
      <c r="H31" s="8" t="s">
        <v>279</v>
      </c>
    </row>
    <row r="32" spans="1:8" ht="15.75" x14ac:dyDescent="0.25">
      <c r="A32" s="3">
        <v>31</v>
      </c>
      <c r="B32" s="3">
        <v>37</v>
      </c>
      <c r="C32" s="3" t="s">
        <v>15</v>
      </c>
      <c r="D32" s="3" t="s">
        <v>280</v>
      </c>
      <c r="E32" s="3" t="s">
        <v>281</v>
      </c>
      <c r="F32" s="3" t="s">
        <v>1016</v>
      </c>
      <c r="G32" s="8" t="s">
        <v>286</v>
      </c>
      <c r="H32" s="8" t="s">
        <v>287</v>
      </c>
    </row>
    <row r="33" spans="1:8" ht="15.75" x14ac:dyDescent="0.25">
      <c r="A33" s="3">
        <v>32</v>
      </c>
      <c r="B33" s="3">
        <v>38</v>
      </c>
      <c r="C33" s="3" t="s">
        <v>16</v>
      </c>
      <c r="D33" s="3" t="s">
        <v>289</v>
      </c>
      <c r="E33" s="3" t="s">
        <v>290</v>
      </c>
      <c r="F33" s="3" t="s">
        <v>1016</v>
      </c>
      <c r="G33" s="8" t="s">
        <v>293</v>
      </c>
      <c r="H33" s="8" t="s">
        <v>293</v>
      </c>
    </row>
    <row r="34" spans="1:8" ht="30" x14ac:dyDescent="0.25">
      <c r="A34" s="3">
        <v>33</v>
      </c>
      <c r="B34" s="3">
        <v>39</v>
      </c>
      <c r="C34" s="3" t="s">
        <v>16</v>
      </c>
      <c r="D34" s="3" t="s">
        <v>295</v>
      </c>
      <c r="E34" s="3" t="s">
        <v>296</v>
      </c>
      <c r="F34" s="3" t="s">
        <v>1014</v>
      </c>
      <c r="G34" s="8" t="s">
        <v>300</v>
      </c>
      <c r="H34" s="8" t="s">
        <v>300</v>
      </c>
    </row>
    <row r="35" spans="1:8" ht="15.75" x14ac:dyDescent="0.25">
      <c r="A35" s="3">
        <v>34</v>
      </c>
      <c r="B35" s="3">
        <v>40</v>
      </c>
      <c r="C35" s="3" t="s">
        <v>16</v>
      </c>
      <c r="D35" s="3" t="s">
        <v>302</v>
      </c>
      <c r="E35" s="3" t="s">
        <v>303</v>
      </c>
      <c r="F35" s="3" t="s">
        <v>1013</v>
      </c>
      <c r="G35" s="8" t="s">
        <v>305</v>
      </c>
      <c r="H35" s="8" t="s">
        <v>305</v>
      </c>
    </row>
    <row r="36" spans="1:8" ht="15.75" x14ac:dyDescent="0.25">
      <c r="A36" s="3">
        <v>35</v>
      </c>
      <c r="B36" s="3">
        <v>41</v>
      </c>
      <c r="C36" s="3" t="s">
        <v>16</v>
      </c>
      <c r="D36" s="3" t="s">
        <v>307</v>
      </c>
      <c r="E36" s="3" t="s">
        <v>308</v>
      </c>
      <c r="F36" s="3" t="s">
        <v>1013</v>
      </c>
      <c r="G36" s="8" t="s">
        <v>310</v>
      </c>
      <c r="H36" s="8" t="s">
        <v>310</v>
      </c>
    </row>
    <row r="37" spans="1:8" ht="15.75" x14ac:dyDescent="0.25">
      <c r="A37" s="3">
        <v>36</v>
      </c>
      <c r="B37" s="3">
        <v>42</v>
      </c>
      <c r="C37" s="3" t="s">
        <v>16</v>
      </c>
      <c r="D37" s="3" t="s">
        <v>311</v>
      </c>
      <c r="E37" s="3" t="s">
        <v>312</v>
      </c>
      <c r="F37" s="3" t="s">
        <v>1013</v>
      </c>
      <c r="G37" s="8" t="s">
        <v>313</v>
      </c>
      <c r="H37" s="8" t="s">
        <v>313</v>
      </c>
    </row>
    <row r="38" spans="1:8" ht="15.75" x14ac:dyDescent="0.25">
      <c r="A38" s="3">
        <v>37</v>
      </c>
      <c r="B38" s="3">
        <v>44</v>
      </c>
      <c r="C38" s="3" t="s">
        <v>16</v>
      </c>
      <c r="D38" s="3" t="s">
        <v>323</v>
      </c>
      <c r="E38" s="3" t="s">
        <v>324</v>
      </c>
      <c r="F38" s="3" t="s">
        <v>1016</v>
      </c>
      <c r="G38" s="8" t="s">
        <v>327</v>
      </c>
      <c r="H38" s="8" t="s">
        <v>327</v>
      </c>
    </row>
    <row r="39" spans="1:8" ht="15.75" x14ac:dyDescent="0.25">
      <c r="A39" s="3">
        <v>38</v>
      </c>
      <c r="B39" s="3">
        <v>45</v>
      </c>
      <c r="C39" s="3" t="s">
        <v>16</v>
      </c>
      <c r="D39" s="3" t="s">
        <v>329</v>
      </c>
      <c r="E39" s="3" t="s">
        <v>330</v>
      </c>
      <c r="F39" s="3" t="s">
        <v>1016</v>
      </c>
      <c r="G39" s="8" t="s">
        <v>333</v>
      </c>
      <c r="H39" s="8" t="s">
        <v>333</v>
      </c>
    </row>
    <row r="40" spans="1:8" ht="15.75" x14ac:dyDescent="0.25">
      <c r="A40" s="3">
        <v>39</v>
      </c>
      <c r="B40" s="3">
        <v>46</v>
      </c>
      <c r="C40" s="3" t="s">
        <v>16</v>
      </c>
      <c r="D40" s="3" t="s">
        <v>335</v>
      </c>
      <c r="E40" s="3" t="s">
        <v>336</v>
      </c>
      <c r="F40" s="3" t="s">
        <v>1016</v>
      </c>
      <c r="G40" s="8" t="s">
        <v>339</v>
      </c>
      <c r="H40" s="8" t="s">
        <v>339</v>
      </c>
    </row>
    <row r="41" spans="1:8" ht="15.75" x14ac:dyDescent="0.25">
      <c r="A41" s="3">
        <v>40</v>
      </c>
      <c r="B41" s="3">
        <v>47</v>
      </c>
      <c r="C41" s="3" t="s">
        <v>16</v>
      </c>
      <c r="D41" s="3" t="s">
        <v>340</v>
      </c>
      <c r="E41" s="3" t="s">
        <v>341</v>
      </c>
      <c r="F41" s="3" t="s">
        <v>1016</v>
      </c>
      <c r="G41" s="8" t="s">
        <v>343</v>
      </c>
      <c r="H41" s="8" t="s">
        <v>343</v>
      </c>
    </row>
    <row r="42" spans="1:8" ht="15.75" x14ac:dyDescent="0.25">
      <c r="A42" s="3">
        <v>41</v>
      </c>
      <c r="B42" s="3">
        <v>48</v>
      </c>
      <c r="C42" s="3" t="s">
        <v>16</v>
      </c>
      <c r="D42" s="3" t="s">
        <v>345</v>
      </c>
      <c r="E42" s="3" t="s">
        <v>346</v>
      </c>
      <c r="F42" s="3" t="s">
        <v>1016</v>
      </c>
      <c r="G42" s="8" t="s">
        <v>349</v>
      </c>
      <c r="H42" s="8" t="s">
        <v>349</v>
      </c>
    </row>
    <row r="43" spans="1:8" ht="15.75" x14ac:dyDescent="0.25">
      <c r="A43" s="3">
        <v>42</v>
      </c>
      <c r="B43" s="3">
        <v>49</v>
      </c>
      <c r="C43" s="3" t="s">
        <v>16</v>
      </c>
      <c r="D43" s="3" t="s">
        <v>351</v>
      </c>
      <c r="E43" s="3" t="s">
        <v>352</v>
      </c>
      <c r="F43" s="3" t="s">
        <v>1016</v>
      </c>
      <c r="G43" s="8" t="s">
        <v>355</v>
      </c>
      <c r="H43" s="8" t="s">
        <v>355</v>
      </c>
    </row>
    <row r="44" spans="1:8" ht="15.75" x14ac:dyDescent="0.25">
      <c r="A44" s="3">
        <v>43</v>
      </c>
      <c r="B44" s="3">
        <v>51</v>
      </c>
      <c r="C44" s="3" t="s">
        <v>16</v>
      </c>
      <c r="D44" s="3" t="s">
        <v>364</v>
      </c>
      <c r="E44" s="3" t="s">
        <v>365</v>
      </c>
      <c r="F44" s="3" t="s">
        <v>1016</v>
      </c>
      <c r="G44" s="8" t="s">
        <v>367</v>
      </c>
      <c r="H44" s="8" t="s">
        <v>367</v>
      </c>
    </row>
    <row r="45" spans="1:8" ht="15.75" x14ac:dyDescent="0.25">
      <c r="A45" s="3">
        <v>44</v>
      </c>
      <c r="B45" s="3">
        <v>52</v>
      </c>
      <c r="C45" s="3" t="s">
        <v>16</v>
      </c>
      <c r="D45" s="3" t="s">
        <v>369</v>
      </c>
      <c r="E45" s="3" t="s">
        <v>370</v>
      </c>
      <c r="F45" s="3" t="s">
        <v>1016</v>
      </c>
      <c r="G45" s="8" t="s">
        <v>373</v>
      </c>
      <c r="H45" s="8" t="s">
        <v>373</v>
      </c>
    </row>
    <row r="46" spans="1:8" ht="15.75" x14ac:dyDescent="0.25">
      <c r="A46" s="3">
        <v>45</v>
      </c>
      <c r="B46" s="3">
        <v>53</v>
      </c>
      <c r="C46" s="3" t="s">
        <v>16</v>
      </c>
      <c r="D46" s="3" t="s">
        <v>375</v>
      </c>
      <c r="E46" s="3" t="s">
        <v>376</v>
      </c>
      <c r="F46" s="3" t="s">
        <v>1013</v>
      </c>
      <c r="G46" s="8" t="s">
        <v>378</v>
      </c>
      <c r="H46" s="8" t="s">
        <v>378</v>
      </c>
    </row>
    <row r="47" spans="1:8" ht="15.75" x14ac:dyDescent="0.25">
      <c r="A47" s="3">
        <v>46</v>
      </c>
      <c r="B47" s="3">
        <v>54</v>
      </c>
      <c r="C47" s="3" t="s">
        <v>16</v>
      </c>
      <c r="D47" s="3" t="s">
        <v>379</v>
      </c>
      <c r="E47" s="3" t="s">
        <v>380</v>
      </c>
      <c r="F47" s="3" t="s">
        <v>1016</v>
      </c>
      <c r="G47" s="8" t="s">
        <v>382</v>
      </c>
      <c r="H47" s="8" t="s">
        <v>382</v>
      </c>
    </row>
    <row r="48" spans="1:8" ht="15.75" x14ac:dyDescent="0.25">
      <c r="A48" s="3">
        <v>47</v>
      </c>
      <c r="B48" s="3">
        <v>55</v>
      </c>
      <c r="C48" s="3" t="s">
        <v>16</v>
      </c>
      <c r="D48" s="3" t="s">
        <v>384</v>
      </c>
      <c r="E48" s="3" t="s">
        <v>385</v>
      </c>
      <c r="F48" s="3" t="s">
        <v>1016</v>
      </c>
      <c r="G48" s="8" t="s">
        <v>388</v>
      </c>
      <c r="H48" s="8" t="s">
        <v>388</v>
      </c>
    </row>
    <row r="49" spans="1:8" ht="15.75" x14ac:dyDescent="0.25">
      <c r="A49" s="3">
        <v>48</v>
      </c>
      <c r="B49" s="3">
        <v>56</v>
      </c>
      <c r="C49" s="3" t="s">
        <v>16</v>
      </c>
      <c r="D49" s="3" t="s">
        <v>390</v>
      </c>
      <c r="E49" s="3" t="s">
        <v>391</v>
      </c>
      <c r="F49" s="3" t="s">
        <v>1013</v>
      </c>
      <c r="G49" s="8" t="s">
        <v>393</v>
      </c>
      <c r="H49" s="8" t="s">
        <v>393</v>
      </c>
    </row>
    <row r="50" spans="1:8" ht="15.75" x14ac:dyDescent="0.25">
      <c r="A50" s="3">
        <v>49</v>
      </c>
      <c r="B50" s="3">
        <v>59</v>
      </c>
      <c r="C50" s="3" t="s">
        <v>16</v>
      </c>
      <c r="D50" s="3" t="s">
        <v>405</v>
      </c>
      <c r="E50" s="3" t="s">
        <v>406</v>
      </c>
      <c r="F50" s="3" t="s">
        <v>1016</v>
      </c>
      <c r="G50" s="8" t="s">
        <v>409</v>
      </c>
      <c r="H50" s="8" t="s">
        <v>409</v>
      </c>
    </row>
    <row r="51" spans="1:8" ht="15.75" x14ac:dyDescent="0.25">
      <c r="A51" s="3">
        <v>50</v>
      </c>
      <c r="B51" s="3">
        <v>60</v>
      </c>
      <c r="C51" s="3" t="s">
        <v>16</v>
      </c>
      <c r="D51" s="3" t="s">
        <v>410</v>
      </c>
      <c r="E51" s="3" t="s">
        <v>411</v>
      </c>
      <c r="F51" s="3" t="s">
        <v>1016</v>
      </c>
      <c r="G51" s="8" t="s">
        <v>414</v>
      </c>
      <c r="H51" s="8" t="s">
        <v>414</v>
      </c>
    </row>
    <row r="52" spans="1:8" ht="15.75" x14ac:dyDescent="0.25">
      <c r="A52" s="3">
        <v>51</v>
      </c>
      <c r="B52" s="3">
        <v>62</v>
      </c>
      <c r="C52" s="3" t="s">
        <v>16</v>
      </c>
      <c r="D52" s="3" t="s">
        <v>424</v>
      </c>
      <c r="E52" s="3" t="s">
        <v>425</v>
      </c>
      <c r="F52" s="3" t="s">
        <v>1013</v>
      </c>
      <c r="G52" s="8" t="s">
        <v>427</v>
      </c>
      <c r="H52" s="8" t="s">
        <v>427</v>
      </c>
    </row>
    <row r="53" spans="1:8" ht="15.75" x14ac:dyDescent="0.25">
      <c r="A53" s="3">
        <v>52</v>
      </c>
      <c r="B53" s="3">
        <v>63</v>
      </c>
      <c r="C53" s="3" t="s">
        <v>16</v>
      </c>
      <c r="D53" s="3" t="s">
        <v>429</v>
      </c>
      <c r="E53" s="3" t="s">
        <v>430</v>
      </c>
      <c r="F53" s="3" t="s">
        <v>1013</v>
      </c>
      <c r="G53" s="8" t="s">
        <v>432</v>
      </c>
      <c r="H53" s="8" t="s">
        <v>432</v>
      </c>
    </row>
    <row r="54" spans="1:8" ht="15.75" x14ac:dyDescent="0.25">
      <c r="A54" s="3">
        <v>53</v>
      </c>
      <c r="B54" s="3">
        <v>64</v>
      </c>
      <c r="C54" s="3" t="s">
        <v>16</v>
      </c>
      <c r="D54" s="3" t="s">
        <v>433</v>
      </c>
      <c r="E54" s="3" t="s">
        <v>434</v>
      </c>
      <c r="F54" s="3" t="s">
        <v>1016</v>
      </c>
      <c r="G54" s="8" t="s">
        <v>436</v>
      </c>
      <c r="H54" s="8" t="s">
        <v>436</v>
      </c>
    </row>
    <row r="55" spans="1:8" ht="30" x14ac:dyDescent="0.25">
      <c r="A55" s="3">
        <v>54</v>
      </c>
      <c r="B55" s="3">
        <v>65</v>
      </c>
      <c r="C55" s="3" t="s">
        <v>16</v>
      </c>
      <c r="D55" s="3" t="s">
        <v>437</v>
      </c>
      <c r="E55" s="3" t="s">
        <v>438</v>
      </c>
      <c r="F55" s="3" t="s">
        <v>1014</v>
      </c>
      <c r="G55" s="8" t="s">
        <v>441</v>
      </c>
      <c r="H55" s="8" t="s">
        <v>441</v>
      </c>
    </row>
    <row r="56" spans="1:8" ht="15.75" x14ac:dyDescent="0.25">
      <c r="A56" s="3">
        <v>55</v>
      </c>
      <c r="B56" s="3">
        <v>66</v>
      </c>
      <c r="C56" s="3" t="s">
        <v>16</v>
      </c>
      <c r="D56" s="3" t="s">
        <v>442</v>
      </c>
      <c r="E56" s="3" t="s">
        <v>443</v>
      </c>
      <c r="F56" s="3" t="s">
        <v>1013</v>
      </c>
      <c r="G56" s="8" t="s">
        <v>444</v>
      </c>
      <c r="H56" s="8" t="s">
        <v>444</v>
      </c>
    </row>
    <row r="57" spans="1:8" ht="15.75" x14ac:dyDescent="0.25">
      <c r="A57" s="3">
        <v>56</v>
      </c>
      <c r="B57" s="3">
        <v>68</v>
      </c>
      <c r="C57" s="3" t="s">
        <v>17</v>
      </c>
      <c r="D57" s="3" t="s">
        <v>454</v>
      </c>
      <c r="E57" s="3" t="s">
        <v>455</v>
      </c>
      <c r="F57" s="3" t="s">
        <v>1014</v>
      </c>
      <c r="G57" s="8" t="s">
        <v>459</v>
      </c>
      <c r="H57" s="8" t="s">
        <v>459</v>
      </c>
    </row>
    <row r="58" spans="1:8" ht="15.75" x14ac:dyDescent="0.25">
      <c r="A58" s="3">
        <v>57</v>
      </c>
      <c r="B58" s="3">
        <v>69</v>
      </c>
      <c r="C58" s="3" t="s">
        <v>17</v>
      </c>
      <c r="D58" s="3" t="s">
        <v>461</v>
      </c>
      <c r="E58" s="3" t="s">
        <v>462</v>
      </c>
      <c r="F58" s="3" t="s">
        <v>1014</v>
      </c>
      <c r="G58" s="8" t="s">
        <v>466</v>
      </c>
      <c r="H58" s="8" t="s">
        <v>466</v>
      </c>
    </row>
    <row r="59" spans="1:8" ht="15.75" x14ac:dyDescent="0.25">
      <c r="A59" s="3">
        <v>58</v>
      </c>
      <c r="B59" s="3">
        <v>70</v>
      </c>
      <c r="C59" s="3" t="s">
        <v>17</v>
      </c>
      <c r="D59" s="3" t="s">
        <v>467</v>
      </c>
      <c r="E59" s="3" t="s">
        <v>468</v>
      </c>
      <c r="F59" s="3" t="s">
        <v>1014</v>
      </c>
      <c r="G59" s="8" t="s">
        <v>469</v>
      </c>
      <c r="H59" s="8" t="s">
        <v>469</v>
      </c>
    </row>
    <row r="60" spans="1:8" ht="15.75" x14ac:dyDescent="0.25">
      <c r="A60" s="3">
        <v>59</v>
      </c>
      <c r="B60" s="3">
        <v>72</v>
      </c>
      <c r="C60" s="3" t="s">
        <v>17</v>
      </c>
      <c r="D60" s="3" t="s">
        <v>478</v>
      </c>
      <c r="E60" s="3" t="s">
        <v>479</v>
      </c>
      <c r="F60" s="3" t="s">
        <v>1016</v>
      </c>
      <c r="G60" s="8" t="s">
        <v>482</v>
      </c>
      <c r="H60" s="8" t="s">
        <v>482</v>
      </c>
    </row>
    <row r="61" spans="1:8" ht="15.75" x14ac:dyDescent="0.25">
      <c r="A61" s="3">
        <v>60</v>
      </c>
      <c r="B61" s="3">
        <v>73</v>
      </c>
      <c r="C61" s="3" t="s">
        <v>17</v>
      </c>
      <c r="D61" s="3" t="s">
        <v>483</v>
      </c>
      <c r="E61" s="3" t="s">
        <v>484</v>
      </c>
      <c r="F61" s="3" t="s">
        <v>1016</v>
      </c>
      <c r="G61" s="8" t="s">
        <v>486</v>
      </c>
      <c r="H61" s="8" t="s">
        <v>486</v>
      </c>
    </row>
    <row r="62" spans="1:8" ht="45" x14ac:dyDescent="0.25">
      <c r="A62" s="3">
        <v>61</v>
      </c>
      <c r="B62" s="3">
        <v>74</v>
      </c>
      <c r="C62" s="3" t="s">
        <v>17</v>
      </c>
      <c r="D62" s="3" t="s">
        <v>487</v>
      </c>
      <c r="E62" s="3" t="s">
        <v>488</v>
      </c>
      <c r="F62" s="3" t="s">
        <v>1019</v>
      </c>
      <c r="G62" s="8" t="s">
        <v>491</v>
      </c>
      <c r="H62" s="8" t="s">
        <v>491</v>
      </c>
    </row>
    <row r="63" spans="1:8" ht="15.75" x14ac:dyDescent="0.25">
      <c r="A63" s="3">
        <v>62</v>
      </c>
      <c r="B63" s="3">
        <v>76</v>
      </c>
      <c r="C63" s="3" t="s">
        <v>17</v>
      </c>
      <c r="D63" s="3" t="s">
        <v>503</v>
      </c>
      <c r="E63" s="3" t="s">
        <v>504</v>
      </c>
      <c r="F63" s="3" t="s">
        <v>1016</v>
      </c>
      <c r="G63" s="8" t="s">
        <v>506</v>
      </c>
      <c r="H63" s="8" t="s">
        <v>506</v>
      </c>
    </row>
    <row r="64" spans="1:8" ht="15.75" x14ac:dyDescent="0.25">
      <c r="A64" s="3">
        <v>63</v>
      </c>
      <c r="B64" s="3">
        <v>77</v>
      </c>
      <c r="C64" s="3" t="s">
        <v>17</v>
      </c>
      <c r="D64" s="3" t="s">
        <v>508</v>
      </c>
      <c r="E64" s="3" t="s">
        <v>509</v>
      </c>
      <c r="F64" s="3" t="s">
        <v>1016</v>
      </c>
      <c r="G64" s="8" t="s">
        <v>512</v>
      </c>
      <c r="H64" s="8" t="s">
        <v>512</v>
      </c>
    </row>
    <row r="65" spans="1:8" ht="30" x14ac:dyDescent="0.25">
      <c r="A65" s="3">
        <v>64</v>
      </c>
      <c r="B65" s="3">
        <v>78</v>
      </c>
      <c r="C65" s="3" t="s">
        <v>17</v>
      </c>
      <c r="D65" s="3" t="s">
        <v>514</v>
      </c>
      <c r="E65" s="3" t="s">
        <v>515</v>
      </c>
      <c r="F65" s="3" t="s">
        <v>1014</v>
      </c>
      <c r="G65" s="8" t="s">
        <v>518</v>
      </c>
      <c r="H65" s="8" t="s">
        <v>518</v>
      </c>
    </row>
    <row r="66" spans="1:8" ht="15.75" x14ac:dyDescent="0.25">
      <c r="A66" s="3">
        <v>65</v>
      </c>
      <c r="B66" s="3">
        <v>79</v>
      </c>
      <c r="C66" s="3" t="s">
        <v>17</v>
      </c>
      <c r="D66" s="3" t="s">
        <v>520</v>
      </c>
      <c r="E66" s="3" t="s">
        <v>521</v>
      </c>
      <c r="F66" s="3" t="s">
        <v>1016</v>
      </c>
      <c r="G66" s="8" t="s">
        <v>524</v>
      </c>
      <c r="H66" s="8" t="s">
        <v>524</v>
      </c>
    </row>
    <row r="67" spans="1:8" ht="30" x14ac:dyDescent="0.25">
      <c r="A67" s="3">
        <v>66</v>
      </c>
      <c r="B67" s="3">
        <v>80</v>
      </c>
      <c r="C67" s="3" t="s">
        <v>17</v>
      </c>
      <c r="D67" s="3" t="s">
        <v>526</v>
      </c>
      <c r="E67" s="3" t="s">
        <v>527</v>
      </c>
      <c r="F67" s="3" t="s">
        <v>1014</v>
      </c>
      <c r="G67" s="8" t="s">
        <v>531</v>
      </c>
      <c r="H67" s="8" t="s">
        <v>531</v>
      </c>
    </row>
    <row r="68" spans="1:8" ht="30" x14ac:dyDescent="0.25">
      <c r="A68" s="3">
        <v>67</v>
      </c>
      <c r="B68" s="3">
        <v>81</v>
      </c>
      <c r="C68" s="3" t="s">
        <v>17</v>
      </c>
      <c r="D68" s="3" t="s">
        <v>532</v>
      </c>
      <c r="E68" s="3" t="s">
        <v>533</v>
      </c>
      <c r="F68" s="3" t="s">
        <v>1014</v>
      </c>
      <c r="G68" s="8" t="s">
        <v>536</v>
      </c>
      <c r="H68" s="8" t="s">
        <v>536</v>
      </c>
    </row>
    <row r="69" spans="1:8" ht="30" x14ac:dyDescent="0.25">
      <c r="A69" s="3">
        <v>68</v>
      </c>
      <c r="B69" s="3">
        <v>82</v>
      </c>
      <c r="C69" s="3" t="s">
        <v>17</v>
      </c>
      <c r="D69" s="3" t="s">
        <v>537</v>
      </c>
      <c r="E69" s="3" t="s">
        <v>538</v>
      </c>
      <c r="F69" s="3" t="s">
        <v>1016</v>
      </c>
      <c r="G69" s="8" t="s">
        <v>540</v>
      </c>
      <c r="H69" s="8" t="s">
        <v>540</v>
      </c>
    </row>
    <row r="70" spans="1:8" ht="15.75" x14ac:dyDescent="0.25">
      <c r="A70" s="3">
        <v>69</v>
      </c>
      <c r="B70" s="3">
        <v>83</v>
      </c>
      <c r="C70" s="3" t="s">
        <v>18</v>
      </c>
      <c r="D70" s="3" t="s">
        <v>542</v>
      </c>
      <c r="E70" s="3" t="s">
        <v>543</v>
      </c>
      <c r="F70" s="3" t="s">
        <v>1016</v>
      </c>
      <c r="G70" s="8" t="s">
        <v>546</v>
      </c>
      <c r="H70" s="8" t="s">
        <v>546</v>
      </c>
    </row>
    <row r="71" spans="1:8" ht="15.75" x14ac:dyDescent="0.25">
      <c r="A71" s="3">
        <v>70</v>
      </c>
      <c r="B71" s="3">
        <v>84</v>
      </c>
      <c r="C71" s="3" t="s">
        <v>18</v>
      </c>
      <c r="D71" s="3" t="s">
        <v>547</v>
      </c>
      <c r="E71" s="3" t="s">
        <v>548</v>
      </c>
      <c r="F71" s="3" t="s">
        <v>1016</v>
      </c>
      <c r="G71" s="8" t="s">
        <v>550</v>
      </c>
      <c r="H71" s="8" t="s">
        <v>550</v>
      </c>
    </row>
    <row r="72" spans="1:8" ht="15.75" x14ac:dyDescent="0.25">
      <c r="A72" s="3">
        <v>71</v>
      </c>
      <c r="B72" s="3">
        <v>85</v>
      </c>
      <c r="C72" s="3" t="s">
        <v>18</v>
      </c>
      <c r="D72" s="3" t="s">
        <v>551</v>
      </c>
      <c r="E72" s="3" t="s">
        <v>552</v>
      </c>
      <c r="F72" s="3" t="s">
        <v>1016</v>
      </c>
      <c r="G72" s="8" t="s">
        <v>554</v>
      </c>
      <c r="H72" s="8" t="s">
        <v>554</v>
      </c>
    </row>
    <row r="73" spans="1:8" ht="15.75" x14ac:dyDescent="0.25">
      <c r="A73" s="3">
        <v>72</v>
      </c>
      <c r="B73" s="3">
        <v>86</v>
      </c>
      <c r="C73" s="3" t="s">
        <v>18</v>
      </c>
      <c r="D73" s="3" t="s">
        <v>555</v>
      </c>
      <c r="E73" s="3" t="s">
        <v>556</v>
      </c>
      <c r="F73" s="3" t="s">
        <v>1013</v>
      </c>
      <c r="G73" s="8" t="s">
        <v>557</v>
      </c>
      <c r="H73" s="8" t="s">
        <v>557</v>
      </c>
    </row>
    <row r="74" spans="1:8" ht="30" x14ac:dyDescent="0.25">
      <c r="A74" s="3">
        <v>73</v>
      </c>
      <c r="B74" s="3">
        <v>87</v>
      </c>
      <c r="C74" s="3" t="s">
        <v>18</v>
      </c>
      <c r="D74" s="3" t="s">
        <v>558</v>
      </c>
      <c r="E74" s="3" t="s">
        <v>559</v>
      </c>
      <c r="F74" s="3" t="s">
        <v>1016</v>
      </c>
      <c r="G74" s="8" t="s">
        <v>561</v>
      </c>
      <c r="H74" s="8" t="s">
        <v>561</v>
      </c>
    </row>
    <row r="75" spans="1:8" ht="15.75" x14ac:dyDescent="0.25">
      <c r="A75" s="3">
        <v>74</v>
      </c>
      <c r="B75" s="3">
        <v>88</v>
      </c>
      <c r="C75" s="3" t="s">
        <v>18</v>
      </c>
      <c r="D75" s="3" t="s">
        <v>563</v>
      </c>
      <c r="E75" s="3" t="s">
        <v>564</v>
      </c>
      <c r="F75" s="3" t="s">
        <v>1016</v>
      </c>
      <c r="G75" s="8" t="s">
        <v>567</v>
      </c>
      <c r="H75" s="8" t="s">
        <v>567</v>
      </c>
    </row>
    <row r="76" spans="1:8" ht="15.75" x14ac:dyDescent="0.25">
      <c r="A76" s="3">
        <v>75</v>
      </c>
      <c r="B76" s="3">
        <v>89</v>
      </c>
      <c r="C76" s="3" t="s">
        <v>18</v>
      </c>
      <c r="D76" s="3" t="s">
        <v>568</v>
      </c>
      <c r="E76" s="3" t="s">
        <v>569</v>
      </c>
      <c r="F76" s="3" t="s">
        <v>1013</v>
      </c>
      <c r="G76" s="8" t="s">
        <v>571</v>
      </c>
      <c r="H76" s="8" t="s">
        <v>571</v>
      </c>
    </row>
    <row r="77" spans="1:8" ht="15.75" x14ac:dyDescent="0.25">
      <c r="A77" s="3">
        <v>76</v>
      </c>
      <c r="B77" s="3">
        <v>90</v>
      </c>
      <c r="C77" s="3" t="s">
        <v>18</v>
      </c>
      <c r="D77" s="3" t="s">
        <v>572</v>
      </c>
      <c r="E77" s="3" t="s">
        <v>573</v>
      </c>
      <c r="F77" s="3" t="s">
        <v>1016</v>
      </c>
      <c r="G77" s="8" t="s">
        <v>576</v>
      </c>
      <c r="H77" s="8" t="s">
        <v>576</v>
      </c>
    </row>
    <row r="78" spans="1:8" ht="15.75" x14ac:dyDescent="0.25">
      <c r="A78" s="3">
        <v>77</v>
      </c>
      <c r="B78" s="3">
        <v>91</v>
      </c>
      <c r="C78" s="3" t="s">
        <v>18</v>
      </c>
      <c r="D78" s="3" t="s">
        <v>578</v>
      </c>
      <c r="E78" s="3" t="s">
        <v>579</v>
      </c>
      <c r="F78" s="3" t="s">
        <v>1016</v>
      </c>
      <c r="G78" s="8" t="s">
        <v>581</v>
      </c>
      <c r="H78" s="8" t="s">
        <v>581</v>
      </c>
    </row>
    <row r="79" spans="1:8" ht="30" x14ac:dyDescent="0.25">
      <c r="A79" s="3">
        <v>78</v>
      </c>
      <c r="B79" s="3">
        <v>92</v>
      </c>
      <c r="C79" s="3" t="s">
        <v>18</v>
      </c>
      <c r="D79" s="3" t="s">
        <v>582</v>
      </c>
      <c r="E79" s="3" t="s">
        <v>583</v>
      </c>
      <c r="F79" s="3" t="s">
        <v>1016</v>
      </c>
      <c r="G79" s="8" t="s">
        <v>588</v>
      </c>
      <c r="H79" s="8" t="s">
        <v>588</v>
      </c>
    </row>
    <row r="80" spans="1:8" ht="15.75" x14ac:dyDescent="0.25">
      <c r="A80" s="3">
        <v>79</v>
      </c>
      <c r="B80" s="3">
        <v>93</v>
      </c>
      <c r="C80" s="3" t="s">
        <v>18</v>
      </c>
      <c r="D80" s="3" t="s">
        <v>590</v>
      </c>
      <c r="E80" s="3" t="s">
        <v>591</v>
      </c>
      <c r="F80" s="3" t="s">
        <v>1014</v>
      </c>
      <c r="G80" s="8" t="s">
        <v>594</v>
      </c>
      <c r="H80" s="8" t="s">
        <v>594</v>
      </c>
    </row>
    <row r="81" spans="1:8" ht="15.75" x14ac:dyDescent="0.25">
      <c r="A81" s="3">
        <v>80</v>
      </c>
      <c r="B81" s="3">
        <v>94</v>
      </c>
      <c r="C81" s="3" t="s">
        <v>18</v>
      </c>
      <c r="D81" s="3" t="s">
        <v>595</v>
      </c>
      <c r="E81" s="3" t="s">
        <v>596</v>
      </c>
      <c r="F81" s="3" t="s">
        <v>1014</v>
      </c>
      <c r="G81" s="8" t="s">
        <v>600</v>
      </c>
      <c r="H81" s="8" t="s">
        <v>600</v>
      </c>
    </row>
    <row r="82" spans="1:8" ht="15.75" x14ac:dyDescent="0.25">
      <c r="A82" s="3">
        <v>81</v>
      </c>
      <c r="B82" s="3">
        <v>95</v>
      </c>
      <c r="C82" s="3" t="s">
        <v>18</v>
      </c>
      <c r="D82" s="3" t="s">
        <v>601</v>
      </c>
      <c r="E82" s="3" t="s">
        <v>602</v>
      </c>
      <c r="F82" s="3" t="s">
        <v>1014</v>
      </c>
      <c r="G82" s="8" t="s">
        <v>606</v>
      </c>
      <c r="H82" s="8" t="s">
        <v>606</v>
      </c>
    </row>
    <row r="83" spans="1:8" ht="15.75" x14ac:dyDescent="0.25">
      <c r="A83" s="3">
        <v>82</v>
      </c>
      <c r="B83" s="3">
        <v>96</v>
      </c>
      <c r="C83" s="3" t="s">
        <v>19</v>
      </c>
      <c r="D83" s="3" t="s">
        <v>608</v>
      </c>
      <c r="E83" s="3" t="s">
        <v>609</v>
      </c>
      <c r="F83" s="3" t="s">
        <v>1016</v>
      </c>
      <c r="G83" s="8" t="s">
        <v>612</v>
      </c>
      <c r="H83" s="8" t="s">
        <v>613</v>
      </c>
    </row>
    <row r="84" spans="1:8" ht="15.75" x14ac:dyDescent="0.25">
      <c r="A84" s="3">
        <v>83</v>
      </c>
      <c r="B84" s="3">
        <v>97</v>
      </c>
      <c r="C84" s="3" t="s">
        <v>19</v>
      </c>
      <c r="D84" s="3" t="s">
        <v>614</v>
      </c>
      <c r="E84" s="3" t="s">
        <v>615</v>
      </c>
      <c r="F84" s="3" t="s">
        <v>1013</v>
      </c>
      <c r="G84" s="8" t="s">
        <v>617</v>
      </c>
      <c r="H84" s="8" t="s">
        <v>618</v>
      </c>
    </row>
    <row r="85" spans="1:8" ht="15.75" x14ac:dyDescent="0.25">
      <c r="A85" s="3">
        <v>84</v>
      </c>
      <c r="B85" s="3">
        <v>98</v>
      </c>
      <c r="C85" s="3" t="s">
        <v>19</v>
      </c>
      <c r="D85" s="3" t="s">
        <v>620</v>
      </c>
      <c r="E85" s="3" t="s">
        <v>621</v>
      </c>
      <c r="F85" s="3" t="s">
        <v>1013</v>
      </c>
      <c r="G85" s="8" t="s">
        <v>617</v>
      </c>
      <c r="H85" s="8" t="s">
        <v>623</v>
      </c>
    </row>
    <row r="86" spans="1:8" ht="15.75" x14ac:dyDescent="0.25">
      <c r="A86" s="3">
        <v>85</v>
      </c>
      <c r="B86" s="3">
        <v>99</v>
      </c>
      <c r="C86" s="3" t="s">
        <v>19</v>
      </c>
      <c r="D86" s="3" t="s">
        <v>624</v>
      </c>
      <c r="E86" s="3" t="s">
        <v>625</v>
      </c>
      <c r="F86" s="3" t="s">
        <v>1013</v>
      </c>
      <c r="G86" s="8" t="s">
        <v>617</v>
      </c>
      <c r="H86" s="8" t="s">
        <v>627</v>
      </c>
    </row>
    <row r="87" spans="1:8" ht="15.75" x14ac:dyDescent="0.25">
      <c r="A87" s="3">
        <v>86</v>
      </c>
      <c r="B87" s="3">
        <v>100</v>
      </c>
      <c r="C87" s="3" t="s">
        <v>19</v>
      </c>
      <c r="D87" s="3" t="s">
        <v>628</v>
      </c>
      <c r="E87" s="3" t="s">
        <v>615</v>
      </c>
      <c r="F87" s="3" t="s">
        <v>1013</v>
      </c>
      <c r="G87" s="8" t="s">
        <v>617</v>
      </c>
      <c r="H87" s="8" t="s">
        <v>629</v>
      </c>
    </row>
    <row r="88" spans="1:8" ht="15.75" x14ac:dyDescent="0.25">
      <c r="A88" s="3">
        <v>87</v>
      </c>
      <c r="B88" s="3">
        <v>101</v>
      </c>
      <c r="C88" s="3" t="s">
        <v>19</v>
      </c>
      <c r="D88" s="3" t="s">
        <v>630</v>
      </c>
      <c r="E88" s="3" t="s">
        <v>631</v>
      </c>
      <c r="F88" s="3" t="s">
        <v>1013</v>
      </c>
      <c r="G88" s="8" t="s">
        <v>617</v>
      </c>
      <c r="H88" s="8" t="s">
        <v>633</v>
      </c>
    </row>
    <row r="89" spans="1:8" ht="15.75" x14ac:dyDescent="0.25">
      <c r="A89" s="3">
        <v>88</v>
      </c>
      <c r="B89" s="3">
        <v>102</v>
      </c>
      <c r="C89" s="3" t="s">
        <v>19</v>
      </c>
      <c r="D89" s="3" t="s">
        <v>634</v>
      </c>
      <c r="E89" s="3" t="s">
        <v>635</v>
      </c>
      <c r="F89" s="3" t="s">
        <v>1013</v>
      </c>
      <c r="G89" s="8" t="s">
        <v>617</v>
      </c>
      <c r="H89" s="8" t="s">
        <v>637</v>
      </c>
    </row>
    <row r="90" spans="1:8" ht="15.75" x14ac:dyDescent="0.25">
      <c r="A90" s="3">
        <v>89</v>
      </c>
      <c r="B90" s="3">
        <v>103</v>
      </c>
      <c r="C90" s="3" t="s">
        <v>19</v>
      </c>
      <c r="D90" s="3" t="s">
        <v>638</v>
      </c>
      <c r="E90" s="3" t="s">
        <v>639</v>
      </c>
      <c r="F90" s="3" t="s">
        <v>1013</v>
      </c>
      <c r="G90" s="8" t="s">
        <v>617</v>
      </c>
      <c r="H90" s="8" t="s">
        <v>641</v>
      </c>
    </row>
    <row r="91" spans="1:8" ht="15.75" x14ac:dyDescent="0.25">
      <c r="A91" s="3">
        <v>90</v>
      </c>
      <c r="B91" s="3">
        <v>104</v>
      </c>
      <c r="C91" s="3" t="s">
        <v>19</v>
      </c>
      <c r="D91" s="3" t="s">
        <v>642</v>
      </c>
      <c r="E91" s="3" t="s">
        <v>643</v>
      </c>
      <c r="F91" s="3" t="s">
        <v>1016</v>
      </c>
      <c r="G91" s="8" t="s">
        <v>645</v>
      </c>
      <c r="H91" s="8" t="s">
        <v>645</v>
      </c>
    </row>
    <row r="92" spans="1:8" ht="45" x14ac:dyDescent="0.25">
      <c r="A92" s="3">
        <v>91</v>
      </c>
      <c r="B92" s="3">
        <v>105</v>
      </c>
      <c r="C92" s="3" t="s">
        <v>19</v>
      </c>
      <c r="D92" s="3" t="s">
        <v>646</v>
      </c>
      <c r="E92" s="3" t="s">
        <v>552</v>
      </c>
      <c r="F92" s="3" t="s">
        <v>1020</v>
      </c>
      <c r="G92" s="8" t="s">
        <v>617</v>
      </c>
      <c r="H92" s="8" t="s">
        <v>648</v>
      </c>
    </row>
    <row r="93" spans="1:8" ht="15.75" x14ac:dyDescent="0.25">
      <c r="A93" s="3">
        <v>92</v>
      </c>
      <c r="B93" s="3">
        <v>106</v>
      </c>
      <c r="C93" s="3" t="s">
        <v>19</v>
      </c>
      <c r="D93" s="3" t="s">
        <v>650</v>
      </c>
      <c r="E93" s="3" t="s">
        <v>651</v>
      </c>
      <c r="F93" s="3" t="s">
        <v>1013</v>
      </c>
      <c r="G93" s="8" t="s">
        <v>617</v>
      </c>
      <c r="H93" s="8" t="s">
        <v>653</v>
      </c>
    </row>
    <row r="94" spans="1:8" ht="30" x14ac:dyDescent="0.25">
      <c r="A94" s="3">
        <v>93</v>
      </c>
      <c r="B94" s="3">
        <v>107</v>
      </c>
      <c r="C94" s="3" t="s">
        <v>19</v>
      </c>
      <c r="D94" s="3" t="s">
        <v>654</v>
      </c>
      <c r="E94" s="3" t="s">
        <v>655</v>
      </c>
      <c r="F94" s="3" t="s">
        <v>1021</v>
      </c>
      <c r="G94" s="8" t="s">
        <v>617</v>
      </c>
      <c r="H94" s="8" t="s">
        <v>657</v>
      </c>
    </row>
    <row r="95" spans="1:8" ht="15.75" x14ac:dyDescent="0.25">
      <c r="A95" s="3">
        <v>94</v>
      </c>
      <c r="B95" s="3">
        <v>109</v>
      </c>
      <c r="C95" s="3" t="s">
        <v>19</v>
      </c>
      <c r="D95" s="3" t="s">
        <v>666</v>
      </c>
      <c r="E95" s="3" t="s">
        <v>667</v>
      </c>
      <c r="F95" s="3" t="s">
        <v>1016</v>
      </c>
      <c r="G95" s="8" t="s">
        <v>671</v>
      </c>
      <c r="H95" s="8" t="s">
        <v>672</v>
      </c>
    </row>
    <row r="96" spans="1:8" ht="15.75" x14ac:dyDescent="0.25">
      <c r="A96" s="3">
        <v>95</v>
      </c>
      <c r="B96" s="3">
        <v>110</v>
      </c>
      <c r="C96" s="3" t="s">
        <v>19</v>
      </c>
      <c r="D96" s="3" t="s">
        <v>673</v>
      </c>
      <c r="E96" s="3" t="s">
        <v>639</v>
      </c>
      <c r="F96" s="3" t="s">
        <v>1013</v>
      </c>
      <c r="G96" s="8" t="s">
        <v>617</v>
      </c>
      <c r="H96" s="8" t="s">
        <v>674</v>
      </c>
    </row>
    <row r="97" spans="1:8" ht="15.75" x14ac:dyDescent="0.25">
      <c r="A97" s="3">
        <v>96</v>
      </c>
      <c r="B97" s="3">
        <v>111</v>
      </c>
      <c r="C97" s="3" t="s">
        <v>19</v>
      </c>
      <c r="D97" s="3" t="s">
        <v>675</v>
      </c>
      <c r="E97" s="3" t="s">
        <v>676</v>
      </c>
      <c r="F97" s="3" t="s">
        <v>1013</v>
      </c>
      <c r="G97" s="8" t="s">
        <v>617</v>
      </c>
      <c r="H97" s="8" t="s">
        <v>677</v>
      </c>
    </row>
    <row r="98" spans="1:8" ht="15.75" x14ac:dyDescent="0.25">
      <c r="A98" s="3">
        <v>97</v>
      </c>
      <c r="B98" s="3">
        <v>112</v>
      </c>
      <c r="C98" s="3" t="s">
        <v>19</v>
      </c>
      <c r="D98" s="3" t="s">
        <v>679</v>
      </c>
      <c r="E98" s="3" t="s">
        <v>680</v>
      </c>
      <c r="F98" s="3" t="s">
        <v>1013</v>
      </c>
      <c r="G98" s="8" t="s">
        <v>617</v>
      </c>
      <c r="H98" s="8" t="s">
        <v>682</v>
      </c>
    </row>
    <row r="99" spans="1:8" ht="15.75" x14ac:dyDescent="0.25">
      <c r="A99" s="3">
        <v>98</v>
      </c>
      <c r="B99" s="3">
        <v>113</v>
      </c>
      <c r="C99" s="3" t="s">
        <v>19</v>
      </c>
      <c r="D99" s="3" t="s">
        <v>683</v>
      </c>
      <c r="E99" s="3" t="s">
        <v>684</v>
      </c>
      <c r="F99" s="3" t="s">
        <v>1016</v>
      </c>
      <c r="G99" s="8" t="s">
        <v>687</v>
      </c>
      <c r="H99" s="8" t="s">
        <v>688</v>
      </c>
    </row>
    <row r="100" spans="1:8" ht="15.75" x14ac:dyDescent="0.25">
      <c r="A100" s="3">
        <v>99</v>
      </c>
      <c r="B100" s="3">
        <v>114</v>
      </c>
      <c r="C100" s="3" t="s">
        <v>19</v>
      </c>
      <c r="D100" s="3" t="s">
        <v>689</v>
      </c>
      <c r="E100" s="3" t="s">
        <v>690</v>
      </c>
      <c r="F100" s="3" t="s">
        <v>1013</v>
      </c>
      <c r="G100" s="8" t="s">
        <v>617</v>
      </c>
      <c r="H100" s="8" t="s">
        <v>691</v>
      </c>
    </row>
    <row r="101" spans="1:8" ht="45" x14ac:dyDescent="0.25">
      <c r="A101" s="3">
        <v>100</v>
      </c>
      <c r="B101" s="3">
        <v>116</v>
      </c>
      <c r="C101" s="3" t="s">
        <v>19</v>
      </c>
      <c r="D101" s="3" t="s">
        <v>698</v>
      </c>
      <c r="E101" s="3" t="s">
        <v>552</v>
      </c>
      <c r="F101" s="3" t="s">
        <v>1022</v>
      </c>
      <c r="G101" s="8" t="s">
        <v>617</v>
      </c>
      <c r="H101" s="8" t="s">
        <v>699</v>
      </c>
    </row>
    <row r="102" spans="1:8" ht="15.75" x14ac:dyDescent="0.25">
      <c r="A102" s="3">
        <v>101</v>
      </c>
      <c r="B102" s="3">
        <v>117</v>
      </c>
      <c r="C102" s="3" t="s">
        <v>19</v>
      </c>
      <c r="D102" s="3" t="s">
        <v>701</v>
      </c>
      <c r="E102" s="3" t="s">
        <v>702</v>
      </c>
      <c r="F102" s="3" t="s">
        <v>1016</v>
      </c>
      <c r="G102" s="8" t="s">
        <v>617</v>
      </c>
      <c r="H102" s="8" t="s">
        <v>704</v>
      </c>
    </row>
    <row r="103" spans="1:8" ht="30" x14ac:dyDescent="0.25">
      <c r="A103" s="3">
        <v>102</v>
      </c>
      <c r="B103" s="3">
        <v>119</v>
      </c>
      <c r="C103" s="3" t="s">
        <v>19</v>
      </c>
      <c r="D103" s="3" t="s">
        <v>714</v>
      </c>
      <c r="E103" s="3" t="s">
        <v>655</v>
      </c>
      <c r="F103" s="3" t="s">
        <v>1023</v>
      </c>
      <c r="G103" s="8" t="s">
        <v>617</v>
      </c>
      <c r="H103" s="8" t="s">
        <v>715</v>
      </c>
    </row>
    <row r="104" spans="1:8" ht="15.75" x14ac:dyDescent="0.25">
      <c r="A104" s="3">
        <v>103</v>
      </c>
      <c r="B104" s="3">
        <v>120</v>
      </c>
      <c r="C104" s="3" t="s">
        <v>20</v>
      </c>
      <c r="D104" s="3" t="s">
        <v>718</v>
      </c>
      <c r="E104" s="3" t="s">
        <v>719</v>
      </c>
      <c r="F104" s="3" t="s">
        <v>1016</v>
      </c>
      <c r="G104" s="8" t="s">
        <v>722</v>
      </c>
      <c r="H104" s="8" t="s">
        <v>722</v>
      </c>
    </row>
    <row r="105" spans="1:8" ht="15.75" x14ac:dyDescent="0.25">
      <c r="A105" s="3">
        <v>104</v>
      </c>
      <c r="B105" s="3">
        <v>122</v>
      </c>
      <c r="C105" s="3" t="s">
        <v>20</v>
      </c>
      <c r="D105" s="3" t="s">
        <v>730</v>
      </c>
      <c r="E105" s="3" t="s">
        <v>731</v>
      </c>
      <c r="F105" s="3" t="s">
        <v>1014</v>
      </c>
      <c r="G105" s="8" t="s">
        <v>736</v>
      </c>
      <c r="H105" s="8" t="s">
        <v>736</v>
      </c>
    </row>
    <row r="106" spans="1:8" ht="15.75" x14ac:dyDescent="0.25">
      <c r="A106" s="3">
        <v>105</v>
      </c>
      <c r="B106" s="3">
        <v>123</v>
      </c>
      <c r="C106" s="3" t="s">
        <v>20</v>
      </c>
      <c r="D106" s="3" t="s">
        <v>737</v>
      </c>
      <c r="E106" s="3" t="s">
        <v>738</v>
      </c>
      <c r="F106" s="3" t="s">
        <v>1014</v>
      </c>
      <c r="G106" s="8" t="s">
        <v>742</v>
      </c>
      <c r="H106" s="8" t="s">
        <v>742</v>
      </c>
    </row>
    <row r="107" spans="1:8" ht="15.75" x14ac:dyDescent="0.25">
      <c r="A107" s="3">
        <v>106</v>
      </c>
      <c r="B107" s="3">
        <v>126</v>
      </c>
      <c r="C107" s="3" t="s">
        <v>20</v>
      </c>
      <c r="D107" s="3" t="s">
        <v>759</v>
      </c>
      <c r="E107" s="3" t="s">
        <v>760</v>
      </c>
      <c r="F107" s="3" t="s">
        <v>1014</v>
      </c>
      <c r="G107" s="8" t="s">
        <v>764</v>
      </c>
      <c r="H107" s="8" t="s">
        <v>764</v>
      </c>
    </row>
    <row r="108" spans="1:8" ht="15.75" x14ac:dyDescent="0.25">
      <c r="A108" s="3">
        <v>107</v>
      </c>
      <c r="B108" s="3">
        <v>127</v>
      </c>
      <c r="C108" s="3" t="s">
        <v>20</v>
      </c>
      <c r="D108" s="3" t="s">
        <v>766</v>
      </c>
      <c r="E108" s="3" t="s">
        <v>767</v>
      </c>
      <c r="F108" s="3" t="s">
        <v>1013</v>
      </c>
      <c r="G108" s="8" t="s">
        <v>769</v>
      </c>
      <c r="H108" s="8" t="s">
        <v>769</v>
      </c>
    </row>
    <row r="109" spans="1:8" ht="30" x14ac:dyDescent="0.25">
      <c r="A109" s="3">
        <v>108</v>
      </c>
      <c r="B109" s="3">
        <v>128</v>
      </c>
      <c r="C109" s="3" t="s">
        <v>21</v>
      </c>
      <c r="D109" s="3" t="s">
        <v>771</v>
      </c>
      <c r="E109" s="3" t="s">
        <v>772</v>
      </c>
      <c r="F109" s="3" t="s">
        <v>1016</v>
      </c>
      <c r="G109" s="8" t="s">
        <v>776</v>
      </c>
      <c r="H109" s="8" t="s">
        <v>776</v>
      </c>
    </row>
    <row r="110" spans="1:8" ht="30" x14ac:dyDescent="0.25">
      <c r="A110" s="3">
        <v>109</v>
      </c>
      <c r="B110" s="3">
        <v>129</v>
      </c>
      <c r="C110" s="3" t="s">
        <v>21</v>
      </c>
      <c r="D110" s="3" t="s">
        <v>777</v>
      </c>
      <c r="E110" s="3" t="s">
        <v>778</v>
      </c>
      <c r="F110" s="3" t="s">
        <v>1016</v>
      </c>
      <c r="G110" s="8" t="s">
        <v>782</v>
      </c>
      <c r="H110" s="8" t="s">
        <v>782</v>
      </c>
    </row>
    <row r="111" spans="1:8" ht="30" x14ac:dyDescent="0.25">
      <c r="A111" s="3">
        <v>110</v>
      </c>
      <c r="B111" s="3">
        <v>132</v>
      </c>
      <c r="C111" s="3" t="s">
        <v>21</v>
      </c>
      <c r="D111" s="3" t="s">
        <v>798</v>
      </c>
      <c r="E111" s="3" t="s">
        <v>799</v>
      </c>
      <c r="F111" s="3" t="s">
        <v>1016</v>
      </c>
      <c r="G111" s="8" t="s">
        <v>802</v>
      </c>
      <c r="H111" s="8" t="s">
        <v>802</v>
      </c>
    </row>
    <row r="112" spans="1:8" ht="30" x14ac:dyDescent="0.25">
      <c r="A112" s="3">
        <v>111</v>
      </c>
      <c r="B112" s="3">
        <v>133</v>
      </c>
      <c r="C112" s="3" t="s">
        <v>21</v>
      </c>
      <c r="D112" s="3" t="s">
        <v>803</v>
      </c>
      <c r="E112" s="3" t="s">
        <v>804</v>
      </c>
      <c r="F112" s="3" t="s">
        <v>1016</v>
      </c>
      <c r="G112" s="8" t="s">
        <v>807</v>
      </c>
      <c r="H112" s="8" t="s">
        <v>807</v>
      </c>
    </row>
    <row r="113" spans="1:8" ht="15.75" x14ac:dyDescent="0.25">
      <c r="A113" s="3">
        <v>112</v>
      </c>
      <c r="B113" s="3">
        <v>134</v>
      </c>
      <c r="C113" s="3" t="s">
        <v>22</v>
      </c>
      <c r="D113" s="3" t="s">
        <v>809</v>
      </c>
      <c r="E113" s="3" t="s">
        <v>810</v>
      </c>
      <c r="F113" s="3" t="s">
        <v>1013</v>
      </c>
      <c r="G113" s="8" t="s">
        <v>811</v>
      </c>
      <c r="H113" s="8" t="s">
        <v>813</v>
      </c>
    </row>
    <row r="114" spans="1:8" ht="15.75" x14ac:dyDescent="0.25">
      <c r="A114" s="3">
        <v>113</v>
      </c>
      <c r="B114" s="3">
        <v>135</v>
      </c>
      <c r="C114" s="3" t="s">
        <v>22</v>
      </c>
      <c r="D114" s="3" t="s">
        <v>815</v>
      </c>
      <c r="E114" s="3" t="s">
        <v>816</v>
      </c>
      <c r="F114" s="3" t="s">
        <v>1013</v>
      </c>
      <c r="G114" s="8" t="s">
        <v>811</v>
      </c>
      <c r="H114" s="8" t="s">
        <v>817</v>
      </c>
    </row>
    <row r="115" spans="1:8" ht="15.75" x14ac:dyDescent="0.25">
      <c r="A115" s="3">
        <v>114</v>
      </c>
      <c r="B115" s="3">
        <v>136</v>
      </c>
      <c r="C115" s="3" t="s">
        <v>22</v>
      </c>
      <c r="D115" s="3" t="s">
        <v>819</v>
      </c>
      <c r="E115" s="3" t="s">
        <v>820</v>
      </c>
      <c r="F115" s="3" t="s">
        <v>1014</v>
      </c>
      <c r="G115" s="8" t="s">
        <v>823</v>
      </c>
      <c r="H115" s="8" t="s">
        <v>823</v>
      </c>
    </row>
    <row r="116" spans="1:8" ht="45" x14ac:dyDescent="0.25">
      <c r="A116" s="3">
        <v>115</v>
      </c>
      <c r="B116" s="3">
        <v>137</v>
      </c>
      <c r="C116" s="3" t="s">
        <v>22</v>
      </c>
      <c r="D116" s="3" t="s">
        <v>825</v>
      </c>
      <c r="E116" s="3" t="s">
        <v>826</v>
      </c>
      <c r="F116" s="3" t="s">
        <v>1024</v>
      </c>
      <c r="G116" s="8" t="s">
        <v>830</v>
      </c>
      <c r="H116" s="8" t="s">
        <v>830</v>
      </c>
    </row>
    <row r="117" spans="1:8" ht="45" x14ac:dyDescent="0.25">
      <c r="A117" s="3">
        <v>116</v>
      </c>
      <c r="B117" s="3">
        <v>138</v>
      </c>
      <c r="C117" s="3" t="s">
        <v>22</v>
      </c>
      <c r="D117" s="3" t="s">
        <v>833</v>
      </c>
      <c r="E117" s="3" t="s">
        <v>834</v>
      </c>
      <c r="F117" s="3" t="s">
        <v>1025</v>
      </c>
      <c r="G117" s="8" t="s">
        <v>837</v>
      </c>
      <c r="H117" s="8" t="s">
        <v>837</v>
      </c>
    </row>
    <row r="118" spans="1:8" ht="15.75" x14ac:dyDescent="0.25">
      <c r="A118" s="3">
        <v>117</v>
      </c>
      <c r="B118" s="3">
        <v>139</v>
      </c>
      <c r="C118" s="3" t="s">
        <v>22</v>
      </c>
      <c r="D118" s="3" t="s">
        <v>840</v>
      </c>
      <c r="E118" s="3" t="s">
        <v>841</v>
      </c>
      <c r="F118" s="3" t="s">
        <v>1013</v>
      </c>
      <c r="G118" s="8" t="s">
        <v>843</v>
      </c>
      <c r="H118" s="8" t="s">
        <v>844</v>
      </c>
    </row>
    <row r="119" spans="1:8" ht="15.75" x14ac:dyDescent="0.25">
      <c r="A119" s="3">
        <v>118</v>
      </c>
      <c r="B119" s="3">
        <v>140</v>
      </c>
      <c r="C119" s="3" t="s">
        <v>22</v>
      </c>
      <c r="D119" s="3" t="s">
        <v>846</v>
      </c>
      <c r="E119" s="3" t="s">
        <v>847</v>
      </c>
      <c r="F119" s="3" t="s">
        <v>1013</v>
      </c>
      <c r="G119" s="8" t="s">
        <v>811</v>
      </c>
      <c r="H119" s="8" t="s">
        <v>848</v>
      </c>
    </row>
    <row r="120" spans="1:8" ht="30" x14ac:dyDescent="0.25">
      <c r="A120" s="3">
        <v>119</v>
      </c>
      <c r="B120" s="3">
        <v>141</v>
      </c>
      <c r="C120" s="3" t="s">
        <v>22</v>
      </c>
      <c r="D120" s="3" t="s">
        <v>850</v>
      </c>
      <c r="E120" s="3" t="s">
        <v>851</v>
      </c>
      <c r="F120" s="3" t="s">
        <v>1026</v>
      </c>
      <c r="G120" s="8" t="s">
        <v>854</v>
      </c>
      <c r="H120" s="8" t="s">
        <v>854</v>
      </c>
    </row>
    <row r="121" spans="1:8" ht="15.75" x14ac:dyDescent="0.25">
      <c r="A121" s="3">
        <v>120</v>
      </c>
      <c r="B121" s="3">
        <v>142</v>
      </c>
      <c r="C121" s="3" t="s">
        <v>22</v>
      </c>
      <c r="D121" s="3" t="s">
        <v>857</v>
      </c>
      <c r="E121" s="3" t="s">
        <v>858</v>
      </c>
      <c r="F121" s="3" t="s">
        <v>1013</v>
      </c>
      <c r="G121" s="8" t="s">
        <v>215</v>
      </c>
      <c r="H121" s="8" t="s">
        <v>860</v>
      </c>
    </row>
    <row r="122" spans="1:8" ht="15.75" x14ac:dyDescent="0.25">
      <c r="A122" s="3">
        <v>121</v>
      </c>
      <c r="B122" s="3">
        <v>143</v>
      </c>
      <c r="C122" s="3" t="s">
        <v>22</v>
      </c>
      <c r="D122" s="3" t="s">
        <v>862</v>
      </c>
      <c r="E122" s="3" t="s">
        <v>863</v>
      </c>
      <c r="F122" s="3" t="s">
        <v>1013</v>
      </c>
      <c r="G122" s="8" t="s">
        <v>811</v>
      </c>
      <c r="H122" s="8" t="s">
        <v>864</v>
      </c>
    </row>
    <row r="123" spans="1:8" ht="30" x14ac:dyDescent="0.25">
      <c r="A123" s="3">
        <v>122</v>
      </c>
      <c r="B123" s="3">
        <v>144</v>
      </c>
      <c r="C123" s="3" t="s">
        <v>22</v>
      </c>
      <c r="D123" s="3" t="s">
        <v>866</v>
      </c>
      <c r="E123" s="3" t="s">
        <v>867</v>
      </c>
      <c r="F123" s="3" t="s">
        <v>1013</v>
      </c>
      <c r="G123" s="8" t="s">
        <v>811</v>
      </c>
      <c r="H123" s="8" t="s">
        <v>869</v>
      </c>
    </row>
    <row r="124" spans="1:8" ht="15.75" x14ac:dyDescent="0.25">
      <c r="A124" s="3">
        <v>123</v>
      </c>
      <c r="B124" s="3">
        <v>145</v>
      </c>
      <c r="C124" s="3" t="s">
        <v>22</v>
      </c>
      <c r="D124" s="3" t="s">
        <v>871</v>
      </c>
      <c r="E124" s="3" t="s">
        <v>872</v>
      </c>
      <c r="F124" s="3" t="s">
        <v>1014</v>
      </c>
      <c r="G124" s="8" t="s">
        <v>812</v>
      </c>
      <c r="H124" s="8" t="s">
        <v>877</v>
      </c>
    </row>
    <row r="125" spans="1:8" ht="15.75" x14ac:dyDescent="0.25">
      <c r="A125" s="3">
        <v>124</v>
      </c>
      <c r="B125" s="3">
        <v>146</v>
      </c>
      <c r="C125" s="3" t="s">
        <v>22</v>
      </c>
      <c r="D125" s="3" t="s">
        <v>879</v>
      </c>
      <c r="E125" s="3" t="s">
        <v>880</v>
      </c>
      <c r="F125" s="3" t="s">
        <v>1013</v>
      </c>
      <c r="G125" s="8" t="s">
        <v>811</v>
      </c>
      <c r="H125" s="8" t="s">
        <v>881</v>
      </c>
    </row>
    <row r="126" spans="1:8" ht="15.75" x14ac:dyDescent="0.25">
      <c r="A126" s="3">
        <v>125</v>
      </c>
      <c r="B126" s="3">
        <v>147</v>
      </c>
      <c r="C126" s="3" t="s">
        <v>23</v>
      </c>
      <c r="D126" s="3" t="s">
        <v>883</v>
      </c>
      <c r="E126" s="3" t="s">
        <v>884</v>
      </c>
      <c r="F126" s="3" t="s">
        <v>1013</v>
      </c>
      <c r="G126" s="8" t="s">
        <v>886</v>
      </c>
      <c r="H126" s="8" t="s">
        <v>886</v>
      </c>
    </row>
    <row r="127" spans="1:8" ht="15.75" x14ac:dyDescent="0.25">
      <c r="A127" s="3">
        <v>126</v>
      </c>
      <c r="B127" s="3">
        <v>148</v>
      </c>
      <c r="C127" s="3" t="s">
        <v>23</v>
      </c>
      <c r="D127" s="3" t="s">
        <v>888</v>
      </c>
      <c r="E127" s="3" t="s">
        <v>889</v>
      </c>
      <c r="F127" s="3" t="s">
        <v>1013</v>
      </c>
      <c r="G127" s="8" t="s">
        <v>891</v>
      </c>
      <c r="H127" s="8" t="s">
        <v>891</v>
      </c>
    </row>
    <row r="128" spans="1:8" ht="15.75" x14ac:dyDescent="0.25">
      <c r="A128" s="3">
        <v>127</v>
      </c>
      <c r="B128" s="3">
        <v>149</v>
      </c>
      <c r="C128" s="3" t="s">
        <v>23</v>
      </c>
      <c r="D128" s="3" t="s">
        <v>893</v>
      </c>
      <c r="E128" s="3" t="s">
        <v>894</v>
      </c>
      <c r="F128" s="3" t="s">
        <v>1014</v>
      </c>
      <c r="G128" s="8" t="s">
        <v>898</v>
      </c>
      <c r="H128" s="8" t="s">
        <v>898</v>
      </c>
    </row>
    <row r="129" spans="1:8" ht="30" x14ac:dyDescent="0.25">
      <c r="A129" s="3">
        <v>128</v>
      </c>
      <c r="B129" s="3">
        <v>150</v>
      </c>
      <c r="C129" s="3" t="s">
        <v>23</v>
      </c>
      <c r="D129" s="3" t="s">
        <v>899</v>
      </c>
      <c r="E129" s="3" t="s">
        <v>900</v>
      </c>
      <c r="F129" s="3" t="s">
        <v>1014</v>
      </c>
      <c r="G129" s="8" t="s">
        <v>903</v>
      </c>
      <c r="H129" s="8" t="s">
        <v>903</v>
      </c>
    </row>
    <row r="130" spans="1:8" ht="15.75" x14ac:dyDescent="0.25">
      <c r="A130" s="3">
        <v>129</v>
      </c>
      <c r="B130" s="3">
        <v>151</v>
      </c>
      <c r="C130" s="3" t="s">
        <v>23</v>
      </c>
      <c r="D130" s="3" t="s">
        <v>905</v>
      </c>
      <c r="E130" s="3" t="s">
        <v>906</v>
      </c>
      <c r="F130" s="3" t="s">
        <v>1013</v>
      </c>
      <c r="G130" s="8" t="s">
        <v>908</v>
      </c>
      <c r="H130" s="8" t="s">
        <v>908</v>
      </c>
    </row>
    <row r="131" spans="1:8" ht="15.75" x14ac:dyDescent="0.25">
      <c r="A131" s="3">
        <v>130</v>
      </c>
      <c r="B131" s="3">
        <v>152</v>
      </c>
      <c r="C131" s="3" t="s">
        <v>23</v>
      </c>
      <c r="D131" s="3" t="s">
        <v>910</v>
      </c>
      <c r="E131" s="3" t="s">
        <v>911</v>
      </c>
      <c r="F131" s="3" t="s">
        <v>1016</v>
      </c>
      <c r="G131" s="8" t="s">
        <v>914</v>
      </c>
      <c r="H131" s="8" t="s">
        <v>914</v>
      </c>
    </row>
    <row r="132" spans="1:8" ht="15.75" x14ac:dyDescent="0.25">
      <c r="A132" s="3">
        <v>131</v>
      </c>
      <c r="B132" s="3">
        <v>153</v>
      </c>
      <c r="C132" s="3" t="s">
        <v>23</v>
      </c>
      <c r="D132" s="3" t="s">
        <v>916</v>
      </c>
      <c r="E132" s="3" t="s">
        <v>917</v>
      </c>
      <c r="F132" s="3" t="s">
        <v>1013</v>
      </c>
      <c r="G132" s="8" t="s">
        <v>920</v>
      </c>
      <c r="H132" s="8" t="s">
        <v>920</v>
      </c>
    </row>
    <row r="133" spans="1:8" ht="30" x14ac:dyDescent="0.25">
      <c r="A133" s="3">
        <v>132</v>
      </c>
      <c r="B133" s="3">
        <v>154</v>
      </c>
      <c r="C133" s="3" t="s">
        <v>23</v>
      </c>
      <c r="D133" s="3" t="s">
        <v>922</v>
      </c>
      <c r="E133" s="3" t="s">
        <v>923</v>
      </c>
      <c r="F133" s="3" t="s">
        <v>1016</v>
      </c>
      <c r="G133" s="8" t="s">
        <v>925</v>
      </c>
      <c r="H133" s="8" t="s">
        <v>926</v>
      </c>
    </row>
    <row r="134" spans="1:8" ht="15.75" x14ac:dyDescent="0.25">
      <c r="A134" s="3">
        <v>133</v>
      </c>
      <c r="B134" s="3">
        <v>157</v>
      </c>
      <c r="C134" s="3" t="s">
        <v>23</v>
      </c>
      <c r="D134" s="3" t="s">
        <v>941</v>
      </c>
      <c r="E134" s="3" t="s">
        <v>942</v>
      </c>
      <c r="F134" s="3" t="s">
        <v>1014</v>
      </c>
      <c r="G134" s="8" t="s">
        <v>945</v>
      </c>
      <c r="H134" s="8" t="s">
        <v>945</v>
      </c>
    </row>
    <row r="135" spans="1:8" ht="15.75" x14ac:dyDescent="0.25">
      <c r="A135" s="3">
        <v>134</v>
      </c>
      <c r="B135" s="3">
        <v>158</v>
      </c>
      <c r="C135" s="3" t="s">
        <v>23</v>
      </c>
      <c r="D135" s="3" t="s">
        <v>946</v>
      </c>
      <c r="E135" s="3" t="s">
        <v>947</v>
      </c>
      <c r="F135" s="3" t="s">
        <v>1013</v>
      </c>
      <c r="G135" s="8" t="s">
        <v>948</v>
      </c>
      <c r="H135" s="8" t="s">
        <v>948</v>
      </c>
    </row>
    <row r="136" spans="1:8" ht="15.75" x14ac:dyDescent="0.25">
      <c r="A136" s="3">
        <v>135</v>
      </c>
      <c r="B136" s="3">
        <v>159</v>
      </c>
      <c r="C136" s="3" t="s">
        <v>23</v>
      </c>
      <c r="D136" s="3" t="s">
        <v>950</v>
      </c>
      <c r="E136" s="3" t="s">
        <v>951</v>
      </c>
      <c r="F136" s="3" t="s">
        <v>1016</v>
      </c>
      <c r="G136" s="8" t="s">
        <v>953</v>
      </c>
      <c r="H136" s="8" t="s">
        <v>955</v>
      </c>
    </row>
    <row r="137" spans="1:8" ht="15.75" x14ac:dyDescent="0.25">
      <c r="A137" s="3">
        <v>136</v>
      </c>
      <c r="B137" s="3">
        <v>160</v>
      </c>
      <c r="C137" s="3" t="s">
        <v>23</v>
      </c>
      <c r="D137" s="3" t="s">
        <v>956</v>
      </c>
      <c r="E137" s="3" t="s">
        <v>957</v>
      </c>
      <c r="F137" s="3" t="s">
        <v>1016</v>
      </c>
      <c r="G137" s="8" t="s">
        <v>959</v>
      </c>
      <c r="H137" s="8" t="s">
        <v>959</v>
      </c>
    </row>
    <row r="138" spans="1:8" ht="30" x14ac:dyDescent="0.25">
      <c r="A138" s="3">
        <v>137</v>
      </c>
      <c r="B138" s="3">
        <v>162</v>
      </c>
      <c r="C138" s="3" t="s">
        <v>23</v>
      </c>
      <c r="D138" s="3" t="s">
        <v>968</v>
      </c>
      <c r="E138" s="3" t="s">
        <v>969</v>
      </c>
      <c r="F138" s="3" t="s">
        <v>1014</v>
      </c>
      <c r="G138" s="8" t="s">
        <v>972</v>
      </c>
      <c r="H138" s="8" t="s">
        <v>972</v>
      </c>
    </row>
    <row r="139" spans="1:8" ht="15.75" x14ac:dyDescent="0.25">
      <c r="A139" s="3">
        <v>138</v>
      </c>
      <c r="B139" s="3">
        <v>163</v>
      </c>
      <c r="C139" s="3" t="s">
        <v>23</v>
      </c>
      <c r="D139" s="3" t="s">
        <v>973</v>
      </c>
      <c r="E139" s="3" t="s">
        <v>974</v>
      </c>
      <c r="F139" s="3" t="s">
        <v>1013</v>
      </c>
      <c r="G139" s="8" t="s">
        <v>975</v>
      </c>
      <c r="H139" s="8" t="s">
        <v>975</v>
      </c>
    </row>
    <row r="140" spans="1:8" ht="15.75" x14ac:dyDescent="0.25">
      <c r="A140" s="3">
        <v>139</v>
      </c>
      <c r="B140" s="3">
        <v>164</v>
      </c>
      <c r="C140" s="3" t="s">
        <v>23</v>
      </c>
      <c r="D140" s="3" t="s">
        <v>976</v>
      </c>
      <c r="E140" s="3" t="s">
        <v>977</v>
      </c>
      <c r="F140" s="3" t="s">
        <v>1016</v>
      </c>
      <c r="G140" s="8" t="s">
        <v>979</v>
      </c>
      <c r="H140" s="8" t="s">
        <v>979</v>
      </c>
    </row>
    <row r="141" spans="1:8" ht="30" x14ac:dyDescent="0.25">
      <c r="A141" s="3">
        <v>140</v>
      </c>
      <c r="B141" s="3">
        <v>165</v>
      </c>
      <c r="C141" s="3" t="s">
        <v>23</v>
      </c>
      <c r="D141" s="3" t="s">
        <v>981</v>
      </c>
      <c r="E141" s="3" t="s">
        <v>982</v>
      </c>
      <c r="F141" s="3" t="s">
        <v>1013</v>
      </c>
      <c r="G141" s="8" t="s">
        <v>984</v>
      </c>
      <c r="H141" s="8" t="s">
        <v>984</v>
      </c>
    </row>
  </sheetData>
  <autoFilter ref="A1:H141" xr:uid="{00000000-0009-0000-0000-000005000000}"/>
  <hyperlinks>
    <hyperlink ref="G2" r:id="rId1" xr:uid="{00000000-0004-0000-0500-000000000000}"/>
    <hyperlink ref="H2" r:id="rId2" xr:uid="{00000000-0004-0000-0500-000001000000}"/>
    <hyperlink ref="G3" r:id="rId3" xr:uid="{00000000-0004-0000-0500-000002000000}"/>
    <hyperlink ref="H3" r:id="rId4" xr:uid="{00000000-0004-0000-0500-000003000000}"/>
    <hyperlink ref="G4" r:id="rId5" xr:uid="{00000000-0004-0000-0500-000004000000}"/>
    <hyperlink ref="H4" r:id="rId6" xr:uid="{00000000-0004-0000-0500-000005000000}"/>
    <hyperlink ref="G5" r:id="rId7" xr:uid="{00000000-0004-0000-0500-000006000000}"/>
    <hyperlink ref="H5" r:id="rId8" xr:uid="{00000000-0004-0000-0500-000007000000}"/>
    <hyperlink ref="G6" r:id="rId9" xr:uid="{00000000-0004-0000-0500-000008000000}"/>
    <hyperlink ref="H6" r:id="rId10" xr:uid="{00000000-0004-0000-0500-000009000000}"/>
    <hyperlink ref="G7" r:id="rId11" xr:uid="{00000000-0004-0000-0500-00000A000000}"/>
    <hyperlink ref="H7" r:id="rId12" xr:uid="{00000000-0004-0000-0500-00000B000000}"/>
    <hyperlink ref="G8" r:id="rId13" xr:uid="{00000000-0004-0000-0500-00000C000000}"/>
    <hyperlink ref="H8" r:id="rId14" xr:uid="{00000000-0004-0000-0500-00000D000000}"/>
    <hyperlink ref="G9" r:id="rId15" xr:uid="{00000000-0004-0000-0500-00000E000000}"/>
    <hyperlink ref="H9" r:id="rId16" xr:uid="{00000000-0004-0000-0500-00000F000000}"/>
    <hyperlink ref="G10" r:id="rId17" xr:uid="{00000000-0004-0000-0500-000010000000}"/>
    <hyperlink ref="H10" r:id="rId18" xr:uid="{00000000-0004-0000-0500-000011000000}"/>
    <hyperlink ref="G11" r:id="rId19" xr:uid="{00000000-0004-0000-0500-000012000000}"/>
    <hyperlink ref="H11" r:id="rId20" xr:uid="{00000000-0004-0000-0500-000013000000}"/>
    <hyperlink ref="G12" r:id="rId21" xr:uid="{00000000-0004-0000-0500-000014000000}"/>
    <hyperlink ref="H12" r:id="rId22" xr:uid="{00000000-0004-0000-0500-000015000000}"/>
    <hyperlink ref="G13" r:id="rId23" xr:uid="{00000000-0004-0000-0500-000016000000}"/>
    <hyperlink ref="H13" r:id="rId24" xr:uid="{00000000-0004-0000-0500-000017000000}"/>
    <hyperlink ref="G14" r:id="rId25" xr:uid="{00000000-0004-0000-0500-000018000000}"/>
    <hyperlink ref="H14" r:id="rId26" xr:uid="{00000000-0004-0000-0500-000019000000}"/>
    <hyperlink ref="G15" r:id="rId27" xr:uid="{00000000-0004-0000-0500-00001A000000}"/>
    <hyperlink ref="H15" r:id="rId28" xr:uid="{00000000-0004-0000-0500-00001B000000}"/>
    <hyperlink ref="G16" r:id="rId29" xr:uid="{00000000-0004-0000-0500-00001C000000}"/>
    <hyperlink ref="H16" r:id="rId30" xr:uid="{00000000-0004-0000-0500-00001D000000}"/>
    <hyperlink ref="G17" r:id="rId31" xr:uid="{00000000-0004-0000-0500-00001E000000}"/>
    <hyperlink ref="H17" r:id="rId32" xr:uid="{00000000-0004-0000-0500-00001F000000}"/>
    <hyperlink ref="G18" r:id="rId33" xr:uid="{00000000-0004-0000-0500-000020000000}"/>
    <hyperlink ref="H18" r:id="rId34" xr:uid="{00000000-0004-0000-0500-000021000000}"/>
    <hyperlink ref="G19" r:id="rId35" xr:uid="{00000000-0004-0000-0500-000022000000}"/>
    <hyperlink ref="H19" r:id="rId36" xr:uid="{00000000-0004-0000-0500-000023000000}"/>
    <hyperlink ref="G20" r:id="rId37" xr:uid="{00000000-0004-0000-0500-000024000000}"/>
    <hyperlink ref="H20" r:id="rId38" xr:uid="{00000000-0004-0000-0500-000025000000}"/>
    <hyperlink ref="G21" r:id="rId39" xr:uid="{00000000-0004-0000-0500-000026000000}"/>
    <hyperlink ref="H21" r:id="rId40" xr:uid="{00000000-0004-0000-0500-000027000000}"/>
    <hyperlink ref="G22" r:id="rId41" xr:uid="{00000000-0004-0000-0500-000028000000}"/>
    <hyperlink ref="H22" r:id="rId42" xr:uid="{00000000-0004-0000-0500-000029000000}"/>
    <hyperlink ref="G23" r:id="rId43" xr:uid="{00000000-0004-0000-0500-00002A000000}"/>
    <hyperlink ref="H23" r:id="rId44" xr:uid="{00000000-0004-0000-0500-00002B000000}"/>
    <hyperlink ref="G24" r:id="rId45" xr:uid="{00000000-0004-0000-0500-00002C000000}"/>
    <hyperlink ref="H24" r:id="rId46" xr:uid="{00000000-0004-0000-0500-00002D000000}"/>
    <hyperlink ref="G25" r:id="rId47" xr:uid="{00000000-0004-0000-0500-00002E000000}"/>
    <hyperlink ref="H25" r:id="rId48" xr:uid="{00000000-0004-0000-0500-00002F000000}"/>
    <hyperlink ref="G26" r:id="rId49" xr:uid="{00000000-0004-0000-0500-000030000000}"/>
    <hyperlink ref="H26" r:id="rId50" xr:uid="{00000000-0004-0000-0500-000031000000}"/>
    <hyperlink ref="G27" r:id="rId51" xr:uid="{00000000-0004-0000-0500-000032000000}"/>
    <hyperlink ref="H27" r:id="rId52" xr:uid="{00000000-0004-0000-0500-000033000000}"/>
    <hyperlink ref="G28" r:id="rId53" xr:uid="{00000000-0004-0000-0500-000034000000}"/>
    <hyperlink ref="H28" r:id="rId54" xr:uid="{00000000-0004-0000-0500-000035000000}"/>
    <hyperlink ref="G29" r:id="rId55" xr:uid="{00000000-0004-0000-0500-000036000000}"/>
    <hyperlink ref="H29" r:id="rId56" xr:uid="{00000000-0004-0000-0500-000037000000}"/>
    <hyperlink ref="G30" r:id="rId57" xr:uid="{00000000-0004-0000-0500-000038000000}"/>
    <hyperlink ref="H30" r:id="rId58" xr:uid="{00000000-0004-0000-0500-000039000000}"/>
    <hyperlink ref="G31" r:id="rId59" xr:uid="{00000000-0004-0000-0500-00003A000000}"/>
    <hyperlink ref="H31" r:id="rId60" xr:uid="{00000000-0004-0000-0500-00003B000000}"/>
    <hyperlink ref="G32" r:id="rId61" xr:uid="{00000000-0004-0000-0500-00003C000000}"/>
    <hyperlink ref="H32" r:id="rId62" xr:uid="{00000000-0004-0000-0500-00003D000000}"/>
    <hyperlink ref="G33" r:id="rId63" xr:uid="{00000000-0004-0000-0500-00003E000000}"/>
    <hyperlink ref="H33" r:id="rId64" xr:uid="{00000000-0004-0000-0500-00003F000000}"/>
    <hyperlink ref="G34" r:id="rId65" xr:uid="{00000000-0004-0000-0500-000040000000}"/>
    <hyperlink ref="H34" r:id="rId66" xr:uid="{00000000-0004-0000-0500-000041000000}"/>
    <hyperlink ref="G35" r:id="rId67" xr:uid="{00000000-0004-0000-0500-000042000000}"/>
    <hyperlink ref="H35" r:id="rId68" xr:uid="{00000000-0004-0000-0500-000043000000}"/>
    <hyperlink ref="G36" r:id="rId69" xr:uid="{00000000-0004-0000-0500-000044000000}"/>
    <hyperlink ref="H36" r:id="rId70" xr:uid="{00000000-0004-0000-0500-000045000000}"/>
    <hyperlink ref="G37" r:id="rId71" xr:uid="{00000000-0004-0000-0500-000046000000}"/>
    <hyperlink ref="H37" r:id="rId72" xr:uid="{00000000-0004-0000-0500-000047000000}"/>
    <hyperlink ref="G38" r:id="rId73" xr:uid="{00000000-0004-0000-0500-000048000000}"/>
    <hyperlink ref="H38" r:id="rId74" xr:uid="{00000000-0004-0000-0500-000049000000}"/>
    <hyperlink ref="G39" r:id="rId75" xr:uid="{00000000-0004-0000-0500-00004A000000}"/>
    <hyperlink ref="H39" r:id="rId76" xr:uid="{00000000-0004-0000-0500-00004B000000}"/>
    <hyperlink ref="G40" r:id="rId77" xr:uid="{00000000-0004-0000-0500-00004C000000}"/>
    <hyperlink ref="H40" r:id="rId78" xr:uid="{00000000-0004-0000-0500-00004D000000}"/>
    <hyperlink ref="G41" r:id="rId79" xr:uid="{00000000-0004-0000-0500-00004E000000}"/>
    <hyperlink ref="H41" r:id="rId80" xr:uid="{00000000-0004-0000-0500-00004F000000}"/>
    <hyperlink ref="G42" r:id="rId81" xr:uid="{00000000-0004-0000-0500-000050000000}"/>
    <hyperlink ref="H42" r:id="rId82" xr:uid="{00000000-0004-0000-0500-000051000000}"/>
    <hyperlink ref="G43" r:id="rId83" xr:uid="{00000000-0004-0000-0500-000052000000}"/>
    <hyperlink ref="H43" r:id="rId84" xr:uid="{00000000-0004-0000-0500-000053000000}"/>
    <hyperlink ref="G44" r:id="rId85" xr:uid="{00000000-0004-0000-0500-000054000000}"/>
    <hyperlink ref="H44" r:id="rId86" xr:uid="{00000000-0004-0000-0500-000055000000}"/>
    <hyperlink ref="G45" r:id="rId87" xr:uid="{00000000-0004-0000-0500-000056000000}"/>
    <hyperlink ref="H45" r:id="rId88" xr:uid="{00000000-0004-0000-0500-000057000000}"/>
    <hyperlink ref="G46" r:id="rId89" xr:uid="{00000000-0004-0000-0500-000058000000}"/>
    <hyperlink ref="H46" r:id="rId90" xr:uid="{00000000-0004-0000-0500-000059000000}"/>
    <hyperlink ref="G47" r:id="rId91" xr:uid="{00000000-0004-0000-0500-00005A000000}"/>
    <hyperlink ref="H47" r:id="rId92" xr:uid="{00000000-0004-0000-0500-00005B000000}"/>
    <hyperlink ref="G48" r:id="rId93" xr:uid="{00000000-0004-0000-0500-00005C000000}"/>
    <hyperlink ref="H48" r:id="rId94" xr:uid="{00000000-0004-0000-0500-00005D000000}"/>
    <hyperlink ref="G49" r:id="rId95" xr:uid="{00000000-0004-0000-0500-00005E000000}"/>
    <hyperlink ref="H49" r:id="rId96" xr:uid="{00000000-0004-0000-0500-00005F000000}"/>
    <hyperlink ref="G50" r:id="rId97" xr:uid="{00000000-0004-0000-0500-000060000000}"/>
    <hyperlink ref="H50" r:id="rId98" xr:uid="{00000000-0004-0000-0500-000061000000}"/>
    <hyperlink ref="G51" r:id="rId99" xr:uid="{00000000-0004-0000-0500-000062000000}"/>
    <hyperlink ref="H51" r:id="rId100" xr:uid="{00000000-0004-0000-0500-000063000000}"/>
    <hyperlink ref="G52" r:id="rId101" xr:uid="{00000000-0004-0000-0500-000064000000}"/>
    <hyperlink ref="H52" r:id="rId102" xr:uid="{00000000-0004-0000-0500-000065000000}"/>
    <hyperlink ref="G53" r:id="rId103" xr:uid="{00000000-0004-0000-0500-000066000000}"/>
    <hyperlink ref="H53" r:id="rId104" xr:uid="{00000000-0004-0000-0500-000067000000}"/>
    <hyperlink ref="G54" r:id="rId105" xr:uid="{00000000-0004-0000-0500-000068000000}"/>
    <hyperlink ref="H54" r:id="rId106" xr:uid="{00000000-0004-0000-0500-000069000000}"/>
    <hyperlink ref="G55" r:id="rId107" xr:uid="{00000000-0004-0000-0500-00006A000000}"/>
    <hyperlink ref="H55" r:id="rId108" xr:uid="{00000000-0004-0000-0500-00006B000000}"/>
    <hyperlink ref="G56" r:id="rId109" xr:uid="{00000000-0004-0000-0500-00006C000000}"/>
    <hyperlink ref="H56" r:id="rId110" xr:uid="{00000000-0004-0000-0500-00006D000000}"/>
    <hyperlink ref="G57" r:id="rId111" xr:uid="{00000000-0004-0000-0500-00006E000000}"/>
    <hyperlink ref="H57" r:id="rId112" xr:uid="{00000000-0004-0000-0500-00006F000000}"/>
    <hyperlink ref="G58" r:id="rId113" xr:uid="{00000000-0004-0000-0500-000070000000}"/>
    <hyperlink ref="H58" r:id="rId114" xr:uid="{00000000-0004-0000-0500-000071000000}"/>
    <hyperlink ref="G59" r:id="rId115" xr:uid="{00000000-0004-0000-0500-000072000000}"/>
    <hyperlink ref="H59" r:id="rId116" xr:uid="{00000000-0004-0000-0500-000073000000}"/>
    <hyperlink ref="G60" r:id="rId117" xr:uid="{00000000-0004-0000-0500-000074000000}"/>
    <hyperlink ref="H60" r:id="rId118" xr:uid="{00000000-0004-0000-0500-000075000000}"/>
    <hyperlink ref="G61" r:id="rId119" xr:uid="{00000000-0004-0000-0500-000076000000}"/>
    <hyperlink ref="H61" r:id="rId120" xr:uid="{00000000-0004-0000-0500-000077000000}"/>
    <hyperlink ref="G62" r:id="rId121" xr:uid="{00000000-0004-0000-0500-000078000000}"/>
    <hyperlink ref="H62" r:id="rId122" xr:uid="{00000000-0004-0000-0500-000079000000}"/>
    <hyperlink ref="G63" r:id="rId123" xr:uid="{00000000-0004-0000-0500-00007A000000}"/>
    <hyperlink ref="H63" r:id="rId124" xr:uid="{00000000-0004-0000-0500-00007B000000}"/>
    <hyperlink ref="G64" r:id="rId125" xr:uid="{00000000-0004-0000-0500-00007C000000}"/>
    <hyperlink ref="H64" r:id="rId126" xr:uid="{00000000-0004-0000-0500-00007D000000}"/>
    <hyperlink ref="G65" r:id="rId127" xr:uid="{00000000-0004-0000-0500-00007E000000}"/>
    <hyperlink ref="H65" r:id="rId128" xr:uid="{00000000-0004-0000-0500-00007F000000}"/>
    <hyperlink ref="G66" r:id="rId129" xr:uid="{00000000-0004-0000-0500-000080000000}"/>
    <hyperlink ref="H66" r:id="rId130" xr:uid="{00000000-0004-0000-0500-000081000000}"/>
    <hyperlink ref="G67" r:id="rId131" xr:uid="{00000000-0004-0000-0500-000082000000}"/>
    <hyperlink ref="H67" r:id="rId132" xr:uid="{00000000-0004-0000-0500-000083000000}"/>
    <hyperlink ref="G68" r:id="rId133" xr:uid="{00000000-0004-0000-0500-000084000000}"/>
    <hyperlink ref="H68" r:id="rId134" xr:uid="{00000000-0004-0000-0500-000085000000}"/>
    <hyperlink ref="G69" r:id="rId135" xr:uid="{00000000-0004-0000-0500-000086000000}"/>
    <hyperlink ref="H69" r:id="rId136" xr:uid="{00000000-0004-0000-0500-000087000000}"/>
    <hyperlink ref="G70" r:id="rId137" xr:uid="{00000000-0004-0000-0500-000088000000}"/>
    <hyperlink ref="H70" r:id="rId138" xr:uid="{00000000-0004-0000-0500-000089000000}"/>
    <hyperlink ref="G71" r:id="rId139" xr:uid="{00000000-0004-0000-0500-00008A000000}"/>
    <hyperlink ref="H71" r:id="rId140" xr:uid="{00000000-0004-0000-0500-00008B000000}"/>
    <hyperlink ref="G72" r:id="rId141" xr:uid="{00000000-0004-0000-0500-00008C000000}"/>
    <hyperlink ref="H72" r:id="rId142" xr:uid="{00000000-0004-0000-0500-00008D000000}"/>
    <hyperlink ref="G73" r:id="rId143" xr:uid="{00000000-0004-0000-0500-00008E000000}"/>
    <hyperlink ref="H73" r:id="rId144" xr:uid="{00000000-0004-0000-0500-00008F000000}"/>
    <hyperlink ref="G74" r:id="rId145" xr:uid="{00000000-0004-0000-0500-000090000000}"/>
    <hyperlink ref="H74" r:id="rId146" xr:uid="{00000000-0004-0000-0500-000091000000}"/>
    <hyperlink ref="G75" r:id="rId147" xr:uid="{00000000-0004-0000-0500-000092000000}"/>
    <hyperlink ref="H75" r:id="rId148" xr:uid="{00000000-0004-0000-0500-000093000000}"/>
    <hyperlink ref="G76" r:id="rId149" xr:uid="{00000000-0004-0000-0500-000094000000}"/>
    <hyperlink ref="H76" r:id="rId150" xr:uid="{00000000-0004-0000-0500-000095000000}"/>
    <hyperlink ref="G77" r:id="rId151" xr:uid="{00000000-0004-0000-0500-000096000000}"/>
    <hyperlink ref="H77" r:id="rId152" xr:uid="{00000000-0004-0000-0500-000097000000}"/>
    <hyperlink ref="G78" r:id="rId153" xr:uid="{00000000-0004-0000-0500-000098000000}"/>
    <hyperlink ref="H78" r:id="rId154" xr:uid="{00000000-0004-0000-0500-000099000000}"/>
    <hyperlink ref="G79" r:id="rId155" xr:uid="{00000000-0004-0000-0500-00009A000000}"/>
    <hyperlink ref="H79" r:id="rId156" xr:uid="{00000000-0004-0000-0500-00009B000000}"/>
    <hyperlink ref="G80" r:id="rId157" xr:uid="{00000000-0004-0000-0500-00009C000000}"/>
    <hyperlink ref="H80" r:id="rId158" xr:uid="{00000000-0004-0000-0500-00009D000000}"/>
    <hyperlink ref="G81" r:id="rId159" xr:uid="{00000000-0004-0000-0500-00009E000000}"/>
    <hyperlink ref="H81" r:id="rId160" xr:uid="{00000000-0004-0000-0500-00009F000000}"/>
    <hyperlink ref="G82" r:id="rId161" xr:uid="{00000000-0004-0000-0500-0000A0000000}"/>
    <hyperlink ref="H82" r:id="rId162" xr:uid="{00000000-0004-0000-0500-0000A1000000}"/>
    <hyperlink ref="G83" r:id="rId163" xr:uid="{00000000-0004-0000-0500-0000A2000000}"/>
    <hyperlink ref="H83" r:id="rId164" xr:uid="{00000000-0004-0000-0500-0000A3000000}"/>
    <hyperlink ref="G84" r:id="rId165" xr:uid="{00000000-0004-0000-0500-0000A4000000}"/>
    <hyperlink ref="H84" r:id="rId166" xr:uid="{00000000-0004-0000-0500-0000A5000000}"/>
    <hyperlink ref="G85" r:id="rId167" xr:uid="{00000000-0004-0000-0500-0000A6000000}"/>
    <hyperlink ref="H85" r:id="rId168" xr:uid="{00000000-0004-0000-0500-0000A7000000}"/>
    <hyperlink ref="G86" r:id="rId169" xr:uid="{00000000-0004-0000-0500-0000A8000000}"/>
    <hyperlink ref="H86" r:id="rId170" xr:uid="{00000000-0004-0000-0500-0000A9000000}"/>
    <hyperlink ref="G87" r:id="rId171" xr:uid="{00000000-0004-0000-0500-0000AA000000}"/>
    <hyperlink ref="H87" r:id="rId172" xr:uid="{00000000-0004-0000-0500-0000AB000000}"/>
    <hyperlink ref="G88" r:id="rId173" xr:uid="{00000000-0004-0000-0500-0000AC000000}"/>
    <hyperlink ref="H88" r:id="rId174" xr:uid="{00000000-0004-0000-0500-0000AD000000}"/>
    <hyperlink ref="G89" r:id="rId175" xr:uid="{00000000-0004-0000-0500-0000AE000000}"/>
    <hyperlink ref="H89" r:id="rId176" xr:uid="{00000000-0004-0000-0500-0000AF000000}"/>
    <hyperlink ref="G90" r:id="rId177" xr:uid="{00000000-0004-0000-0500-0000B0000000}"/>
    <hyperlink ref="H90" r:id="rId178" xr:uid="{00000000-0004-0000-0500-0000B1000000}"/>
    <hyperlink ref="G91" r:id="rId179" xr:uid="{00000000-0004-0000-0500-0000B2000000}"/>
    <hyperlink ref="H91" r:id="rId180" xr:uid="{00000000-0004-0000-0500-0000B3000000}"/>
    <hyperlink ref="G92" r:id="rId181" xr:uid="{00000000-0004-0000-0500-0000B4000000}"/>
    <hyperlink ref="H92" r:id="rId182" xr:uid="{00000000-0004-0000-0500-0000B5000000}"/>
    <hyperlink ref="G93" r:id="rId183" xr:uid="{00000000-0004-0000-0500-0000B6000000}"/>
    <hyperlink ref="H93" r:id="rId184" xr:uid="{00000000-0004-0000-0500-0000B7000000}"/>
    <hyperlink ref="G94" r:id="rId185" xr:uid="{00000000-0004-0000-0500-0000B8000000}"/>
    <hyperlink ref="H94" r:id="rId186" xr:uid="{00000000-0004-0000-0500-0000B9000000}"/>
    <hyperlink ref="G95" r:id="rId187" xr:uid="{00000000-0004-0000-0500-0000BA000000}"/>
    <hyperlink ref="H95" r:id="rId188" xr:uid="{00000000-0004-0000-0500-0000BB000000}"/>
    <hyperlink ref="G96" r:id="rId189" xr:uid="{00000000-0004-0000-0500-0000BC000000}"/>
    <hyperlink ref="H96" r:id="rId190" xr:uid="{00000000-0004-0000-0500-0000BD000000}"/>
    <hyperlink ref="G97" r:id="rId191" xr:uid="{00000000-0004-0000-0500-0000BE000000}"/>
    <hyperlink ref="H97" r:id="rId192" xr:uid="{00000000-0004-0000-0500-0000BF000000}"/>
    <hyperlink ref="G98" r:id="rId193" xr:uid="{00000000-0004-0000-0500-0000C0000000}"/>
    <hyperlink ref="H98" r:id="rId194" xr:uid="{00000000-0004-0000-0500-0000C1000000}"/>
    <hyperlink ref="G99" r:id="rId195" xr:uid="{00000000-0004-0000-0500-0000C2000000}"/>
    <hyperlink ref="H99" r:id="rId196" xr:uid="{00000000-0004-0000-0500-0000C3000000}"/>
    <hyperlink ref="G100" r:id="rId197" xr:uid="{00000000-0004-0000-0500-0000C4000000}"/>
    <hyperlink ref="H100" r:id="rId198" xr:uid="{00000000-0004-0000-0500-0000C5000000}"/>
    <hyperlink ref="G101" r:id="rId199" xr:uid="{00000000-0004-0000-0500-0000C6000000}"/>
    <hyperlink ref="H101" r:id="rId200" xr:uid="{00000000-0004-0000-0500-0000C7000000}"/>
    <hyperlink ref="G102" r:id="rId201" xr:uid="{00000000-0004-0000-0500-0000C8000000}"/>
    <hyperlink ref="H102" r:id="rId202" xr:uid="{00000000-0004-0000-0500-0000C9000000}"/>
    <hyperlink ref="G103" r:id="rId203" xr:uid="{00000000-0004-0000-0500-0000CA000000}"/>
    <hyperlink ref="H103" r:id="rId204" xr:uid="{00000000-0004-0000-0500-0000CB000000}"/>
    <hyperlink ref="G104" r:id="rId205" xr:uid="{00000000-0004-0000-0500-0000CC000000}"/>
    <hyperlink ref="H104" r:id="rId206" xr:uid="{00000000-0004-0000-0500-0000CD000000}"/>
    <hyperlink ref="G105" r:id="rId207" xr:uid="{00000000-0004-0000-0500-0000CE000000}"/>
    <hyperlink ref="H105" r:id="rId208" xr:uid="{00000000-0004-0000-0500-0000CF000000}"/>
    <hyperlink ref="G106" r:id="rId209" xr:uid="{00000000-0004-0000-0500-0000D0000000}"/>
    <hyperlink ref="H106" r:id="rId210" xr:uid="{00000000-0004-0000-0500-0000D1000000}"/>
    <hyperlink ref="G107" r:id="rId211" xr:uid="{00000000-0004-0000-0500-0000D2000000}"/>
    <hyperlink ref="H107" r:id="rId212" xr:uid="{00000000-0004-0000-0500-0000D3000000}"/>
    <hyperlink ref="G108" r:id="rId213" xr:uid="{00000000-0004-0000-0500-0000D4000000}"/>
    <hyperlink ref="H108" r:id="rId214" xr:uid="{00000000-0004-0000-0500-0000D5000000}"/>
    <hyperlink ref="G109" r:id="rId215" xr:uid="{00000000-0004-0000-0500-0000D6000000}"/>
    <hyperlink ref="H109" r:id="rId216" xr:uid="{00000000-0004-0000-0500-0000D7000000}"/>
    <hyperlink ref="G110" r:id="rId217" xr:uid="{00000000-0004-0000-0500-0000D8000000}"/>
    <hyperlink ref="H110" r:id="rId218" xr:uid="{00000000-0004-0000-0500-0000D9000000}"/>
    <hyperlink ref="G111" r:id="rId219" xr:uid="{00000000-0004-0000-0500-0000DA000000}"/>
    <hyperlink ref="H111" r:id="rId220" xr:uid="{00000000-0004-0000-0500-0000DB000000}"/>
    <hyperlink ref="G112" r:id="rId221" xr:uid="{00000000-0004-0000-0500-0000DC000000}"/>
    <hyperlink ref="H112" r:id="rId222" xr:uid="{00000000-0004-0000-0500-0000DD000000}"/>
    <hyperlink ref="G113" r:id="rId223" xr:uid="{00000000-0004-0000-0500-0000DE000000}"/>
    <hyperlink ref="H113" r:id="rId224" xr:uid="{00000000-0004-0000-0500-0000DF000000}"/>
    <hyperlink ref="G114" r:id="rId225" xr:uid="{00000000-0004-0000-0500-0000E0000000}"/>
    <hyperlink ref="H114" r:id="rId226" xr:uid="{00000000-0004-0000-0500-0000E1000000}"/>
    <hyperlink ref="G115" r:id="rId227" xr:uid="{00000000-0004-0000-0500-0000E2000000}"/>
    <hyperlink ref="H115" r:id="rId228" xr:uid="{00000000-0004-0000-0500-0000E3000000}"/>
    <hyperlink ref="G116" r:id="rId229" xr:uid="{00000000-0004-0000-0500-0000E4000000}"/>
    <hyperlink ref="H116" r:id="rId230" xr:uid="{00000000-0004-0000-0500-0000E5000000}"/>
    <hyperlink ref="G117" r:id="rId231" xr:uid="{00000000-0004-0000-0500-0000E6000000}"/>
    <hyperlink ref="H117" r:id="rId232" xr:uid="{00000000-0004-0000-0500-0000E7000000}"/>
    <hyperlink ref="G118" r:id="rId233" xr:uid="{00000000-0004-0000-0500-0000E8000000}"/>
    <hyperlink ref="H118" r:id="rId234" xr:uid="{00000000-0004-0000-0500-0000E9000000}"/>
    <hyperlink ref="G119" r:id="rId235" xr:uid="{00000000-0004-0000-0500-0000EA000000}"/>
    <hyperlink ref="H119" r:id="rId236" xr:uid="{00000000-0004-0000-0500-0000EB000000}"/>
    <hyperlink ref="G120" r:id="rId237" xr:uid="{00000000-0004-0000-0500-0000EC000000}"/>
    <hyperlink ref="H120" r:id="rId238" xr:uid="{00000000-0004-0000-0500-0000ED000000}"/>
    <hyperlink ref="G121" r:id="rId239" xr:uid="{00000000-0004-0000-0500-0000EE000000}"/>
    <hyperlink ref="H121" r:id="rId240" xr:uid="{00000000-0004-0000-0500-0000EF000000}"/>
    <hyperlink ref="G122" r:id="rId241" xr:uid="{00000000-0004-0000-0500-0000F0000000}"/>
    <hyperlink ref="H122" r:id="rId242" xr:uid="{00000000-0004-0000-0500-0000F1000000}"/>
    <hyperlink ref="G123" r:id="rId243" xr:uid="{00000000-0004-0000-0500-0000F2000000}"/>
    <hyperlink ref="H123" r:id="rId244" xr:uid="{00000000-0004-0000-0500-0000F3000000}"/>
    <hyperlink ref="G124" r:id="rId245" xr:uid="{00000000-0004-0000-0500-0000F4000000}"/>
    <hyperlink ref="H124" r:id="rId246" xr:uid="{00000000-0004-0000-0500-0000F5000000}"/>
    <hyperlink ref="G125" r:id="rId247" xr:uid="{00000000-0004-0000-0500-0000F6000000}"/>
    <hyperlink ref="H125" r:id="rId248" xr:uid="{00000000-0004-0000-0500-0000F7000000}"/>
    <hyperlink ref="G126" r:id="rId249" xr:uid="{00000000-0004-0000-0500-0000F8000000}"/>
    <hyperlink ref="H126" r:id="rId250" xr:uid="{00000000-0004-0000-0500-0000F9000000}"/>
    <hyperlink ref="G127" r:id="rId251" xr:uid="{00000000-0004-0000-0500-0000FA000000}"/>
    <hyperlink ref="H127" r:id="rId252" xr:uid="{00000000-0004-0000-0500-0000FB000000}"/>
    <hyperlink ref="G128" r:id="rId253" xr:uid="{00000000-0004-0000-0500-0000FC000000}"/>
    <hyperlink ref="H128" r:id="rId254" xr:uid="{00000000-0004-0000-0500-0000FD000000}"/>
    <hyperlink ref="G129" r:id="rId255" xr:uid="{00000000-0004-0000-0500-0000FE000000}"/>
    <hyperlink ref="H129" r:id="rId256" xr:uid="{00000000-0004-0000-0500-0000FF000000}"/>
    <hyperlink ref="G130" r:id="rId257" xr:uid="{00000000-0004-0000-0500-000000010000}"/>
    <hyperlink ref="H130" r:id="rId258" xr:uid="{00000000-0004-0000-0500-000001010000}"/>
    <hyperlink ref="G131" r:id="rId259" xr:uid="{00000000-0004-0000-0500-000002010000}"/>
    <hyperlink ref="H131" r:id="rId260" xr:uid="{00000000-0004-0000-0500-000003010000}"/>
    <hyperlink ref="G132" r:id="rId261" xr:uid="{00000000-0004-0000-0500-000004010000}"/>
    <hyperlink ref="H132" r:id="rId262" xr:uid="{00000000-0004-0000-0500-000005010000}"/>
    <hyperlink ref="G133" r:id="rId263" xr:uid="{00000000-0004-0000-0500-000006010000}"/>
    <hyperlink ref="H133" r:id="rId264" xr:uid="{00000000-0004-0000-0500-000007010000}"/>
    <hyperlink ref="G134" r:id="rId265" xr:uid="{00000000-0004-0000-0500-000008010000}"/>
    <hyperlink ref="H134" r:id="rId266" xr:uid="{00000000-0004-0000-0500-000009010000}"/>
    <hyperlink ref="G135" r:id="rId267" xr:uid="{00000000-0004-0000-0500-00000A010000}"/>
    <hyperlink ref="H135" r:id="rId268" xr:uid="{00000000-0004-0000-0500-00000B010000}"/>
    <hyperlink ref="G136" r:id="rId269" xr:uid="{00000000-0004-0000-0500-00000C010000}"/>
    <hyperlink ref="H136" r:id="rId270" xr:uid="{00000000-0004-0000-0500-00000D010000}"/>
    <hyperlink ref="G137" r:id="rId271" xr:uid="{00000000-0004-0000-0500-00000E010000}"/>
    <hyperlink ref="H137" r:id="rId272" xr:uid="{00000000-0004-0000-0500-00000F010000}"/>
    <hyperlink ref="G138" r:id="rId273" xr:uid="{00000000-0004-0000-0500-000010010000}"/>
    <hyperlink ref="H138" r:id="rId274" xr:uid="{00000000-0004-0000-0500-000011010000}"/>
    <hyperlink ref="G139" r:id="rId275" xr:uid="{00000000-0004-0000-0500-000012010000}"/>
    <hyperlink ref="H139" r:id="rId276" xr:uid="{00000000-0004-0000-0500-000013010000}"/>
    <hyperlink ref="G140" r:id="rId277" xr:uid="{00000000-0004-0000-0500-000014010000}"/>
    <hyperlink ref="H140" r:id="rId278" xr:uid="{00000000-0004-0000-0500-000015010000}"/>
    <hyperlink ref="G141" r:id="rId279" xr:uid="{00000000-0004-0000-0500-000016010000}"/>
    <hyperlink ref="H141" r:id="rId280" xr:uid="{00000000-0004-0000-0500-00001701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Tong_hop</vt:lpstr>
      <vt:lpstr>Danh_sach_chi_tiet</vt:lpstr>
      <vt:lpstr>Di_tich_lich_su</vt:lpstr>
      <vt:lpstr>Ranh_gioi</vt:lpstr>
      <vt:lpstr>Nguon_du_lieu</vt:lpstr>
      <vt:lpstr>Kiem_tra_bo_sung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 Huy Hoang - Quan tri kinh doanh</cp:lastModifiedBy>
  <dcterms:created xsi:type="dcterms:W3CDTF">2026-08-27T03:48:37Z</dcterms:created>
  <dcterms:modified xsi:type="dcterms:W3CDTF">2026-08-27T04:02:26Z</dcterms:modified>
</cp:coreProperties>
</file>